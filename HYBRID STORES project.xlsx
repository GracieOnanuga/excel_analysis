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hidePivotFieldList="1" defaultThemeVersion="166925"/>
  <mc:AlternateContent xmlns:mc="http://schemas.openxmlformats.org/markup-compatibility/2006">
    <mc:Choice Requires="x15">
      <x15ac:absPath xmlns:x15ac="http://schemas.microsoft.com/office/spreadsheetml/2010/11/ac" url="C:\Users\USER PC\OneDrive\Documents\Gracie Neo Cloud\"/>
    </mc:Choice>
  </mc:AlternateContent>
  <xr:revisionPtr revIDLastSave="0" documentId="13_ncr:1_{84B87E5A-6866-4288-B66A-84134E633E40}" xr6:coauthVersionLast="43" xr6:coauthVersionMax="47" xr10:uidLastSave="{00000000-0000-0000-0000-000000000000}"/>
  <bookViews>
    <workbookView xWindow="-120" yWindow="-120" windowWidth="20730" windowHeight="11160" firstSheet="4" activeTab="6" xr2:uid="{9BBB58EB-51E6-4EB3-BEFF-FF1F7F1B76EE}"/>
  </bookViews>
  <sheets>
    <sheet name="Sheet1" sheetId="1" r:id="rId1"/>
    <sheet name="Summary" sheetId="3" r:id="rId2"/>
    <sheet name="Profit by Item Type" sheetId="4" r:id="rId3"/>
    <sheet name="Order Priority Distribution" sheetId="5" r:id="rId4"/>
    <sheet name="Percentage of Sales Channel" sheetId="6" r:id="rId5"/>
    <sheet name="Net Profit vs Total Cost" sheetId="7" r:id="rId6"/>
    <sheet name="Dashboard" sheetId="8" r:id="rId7"/>
    <sheet name="Sheet8" sheetId="9" r:id="rId8"/>
    <sheet name="Tax" sheetId="2" state="hidden" r:id="rId9"/>
  </sheets>
  <definedNames>
    <definedName name="Slicer_Country">#N/A</definedName>
    <definedName name="Slicer_Region">#N/A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Q2" i="1" l="1"/>
  <c r="O3"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P2"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2" i="1"/>
</calcChain>
</file>

<file path=xl/sharedStrings.xml><?xml version="1.0" encoding="utf-8"?>
<sst xmlns="http://schemas.openxmlformats.org/spreadsheetml/2006/main" count="561" uniqueCount="134">
  <si>
    <t>Region</t>
  </si>
  <si>
    <t>Country</t>
  </si>
  <si>
    <t>Item Type</t>
  </si>
  <si>
    <t>Sales Channel</t>
  </si>
  <si>
    <t>Order Priority</t>
  </si>
  <si>
    <t>Order Date</t>
  </si>
  <si>
    <t>Order ID</t>
  </si>
  <si>
    <t>Ship Date</t>
  </si>
  <si>
    <t>Units Sold</t>
  </si>
  <si>
    <t>Unit Price</t>
  </si>
  <si>
    <t>Unit Cost</t>
  </si>
  <si>
    <t>Australia and Oceania</t>
  </si>
  <si>
    <t>Tuvalu</t>
  </si>
  <si>
    <t>Baby Food</t>
  </si>
  <si>
    <t>Offline</t>
  </si>
  <si>
    <t>H</t>
  </si>
  <si>
    <t>Central America and the Caribbean</t>
  </si>
  <si>
    <t>Grenada</t>
  </si>
  <si>
    <t>Cereal</t>
  </si>
  <si>
    <t>Online</t>
  </si>
  <si>
    <t>C</t>
  </si>
  <si>
    <t>Europe</t>
  </si>
  <si>
    <t>Russia</t>
  </si>
  <si>
    <t>Office Supplies</t>
  </si>
  <si>
    <t>L</t>
  </si>
  <si>
    <t>Sub-Saharan Africa</t>
  </si>
  <si>
    <t>Sao Tome and Principe</t>
  </si>
  <si>
    <t>Fruits</t>
  </si>
  <si>
    <t>Rwanda</t>
  </si>
  <si>
    <t>Solomon Islands</t>
  </si>
  <si>
    <t>Angola</t>
  </si>
  <si>
    <t>Household</t>
  </si>
  <si>
    <t>M</t>
  </si>
  <si>
    <t>Burkina Faso</t>
  </si>
  <si>
    <t>Vegetables</t>
  </si>
  <si>
    <t>Republic of the Congo</t>
  </si>
  <si>
    <t>Personal Care</t>
  </si>
  <si>
    <t>Senegal</t>
  </si>
  <si>
    <t>Asia</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</si>
  <si>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</si>
  <si>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</si>
  <si>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</si>
  <si>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</si>
  <si>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</si>
  <si>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</si>
  <si>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</si>
  <si>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</si>
  <si>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</si>
  <si>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</si>
  <si>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</si>
  <si>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</si>
  <si>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</si>
  <si>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</si>
  <si>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</si>
  <si>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</si>
  <si>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Snacks</t>
  </si>
  <si>
    <t>New Zealand</t>
  </si>
  <si>
    <t xml:space="preserve">Moldova </t>
  </si>
  <si>
    <t>France</t>
  </si>
  <si>
    <t>Kiribati</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</si>
  <si>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</si>
  <si>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</si>
  <si>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</si>
  <si>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</si>
  <si>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</si>
  <si>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</si>
  <si>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</si>
  <si>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</si>
  <si>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</si>
  <si>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</si>
  <si>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</si>
  <si>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</si>
  <si>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</si>
  <si>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</si>
  <si>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</si>
  <si>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</si>
  <si>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</si>
  <si>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</si>
  <si>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</si>
  <si>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</si>
  <si>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</si>
  <si>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</si>
  <si>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</si>
  <si>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</si>
  <si>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</si>
  <si>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</si>
  <si>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</si>
  <si>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</si>
  <si>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</si>
  <si>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</si>
  <si>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</si>
  <si>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</si>
  <si>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</si>
  <si>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</si>
  <si>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</si>
  <si>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</si>
  <si>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</si>
  <si>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</si>
  <si>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</si>
  <si>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</si>
  <si>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</si>
  <si>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</si>
  <si>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</si>
  <si>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</si>
  <si>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</si>
  <si>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</si>
  <si>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</si>
  <si>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</si>
  <si>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</si>
  <si>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</si>
  <si>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</si>
  <si>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</si>
  <si>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Tax</t>
  </si>
  <si>
    <t>Total Revenue</t>
  </si>
  <si>
    <t>Total Cost</t>
  </si>
  <si>
    <t>Gross Profit</t>
  </si>
  <si>
    <t>Net Profit</t>
  </si>
  <si>
    <t>Average Net Profit</t>
  </si>
  <si>
    <t>Sum of Total Revenue</t>
  </si>
  <si>
    <t>Sum of Units Sold</t>
  </si>
  <si>
    <t>Sum of Net Profit</t>
  </si>
  <si>
    <t>Average of Net Profit</t>
  </si>
  <si>
    <t>Row Labels</t>
  </si>
  <si>
    <t>Grand Total</t>
  </si>
  <si>
    <t>Count of Sales Channel</t>
  </si>
  <si>
    <t>Sum of Total Cost</t>
  </si>
  <si>
    <t>2010</t>
  </si>
  <si>
    <t>2011</t>
  </si>
  <si>
    <t>2012</t>
  </si>
  <si>
    <t>2013</t>
  </si>
  <si>
    <t>2014</t>
  </si>
  <si>
    <t>2015</t>
  </si>
  <si>
    <t>2016</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</si>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</sst>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2" fillId="0" borderId="0" xfId="0" applyFont="1"/>
    <xf numFmtId="14" fontId="0" fillId="0" borderId="0" xfId="0" applyNumberFormat="1"/>
    <xf numFmtId="164" fontId="0" fillId="0" borderId="0" xfId="1" applyNumberFormat="1" applyFont="1"/>
    <xf numFmtId="9" fontId="0" fillId="0" borderId="0" xfId="0" applyNumberFormat="1"/>
    <xf numFmtId="1" fontId="2" fillId="0" borderId="0" xfId="0" applyNumberFormat="1" applyFont="1"/>
    <xf numFmtId="1" fontId="0" fillId="0" borderId="0" xfId="0" applyNumberFormat="1"/>
    <xf numFmtId="43"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2">
    <cellStyle name="Comma" xfId="1" builtinId="3"/>
    <cellStyle name="Normal" xfId="0" builtinId="0"/>
  </cellStyles>
  <dxfs count="27">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 project.xlsx]Profit by Item Type!PivotTable5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Item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by Item Type'!$B$3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Item Type'!$A$4:$A$16</c:f>
              <c:strCache>
                <c:ptCount val="12"/>
                <c:pt idx="0">
                  <c:v>Fruits</c:v>
                </c:pt>
                <c:pt idx="1">
                  <c:v>Meat</c:v>
                </c:pt>
                <c:pt idx="2">
                  <c:v>Snacks</c:v>
                </c:pt>
                <c:pt idx="3">
                  <c:v>Beverages</c:v>
                </c:pt>
                <c:pt idx="4">
                  <c:v>Personal Care</c:v>
                </c:pt>
                <c:pt idx="5">
                  <c:v>Vegetables</c:v>
                </c:pt>
                <c:pt idx="6">
                  <c:v>Cereal</c:v>
                </c:pt>
                <c:pt idx="7">
                  <c:v>Baby Food</c:v>
                </c:pt>
                <c:pt idx="8">
                  <c:v>Clothes</c:v>
                </c:pt>
                <c:pt idx="9">
                  <c:v>Office Supplies</c:v>
                </c:pt>
                <c:pt idx="10">
                  <c:v>Household</c:v>
                </c:pt>
                <c:pt idx="11">
                  <c:v>Cosmetics</c:v>
                </c:pt>
              </c:strCache>
            </c:strRef>
          </c:cat>
          <c:val>
            <c:numRef>
              <c:f>'Profit by Item Type'!$B$4:$B$16</c:f>
              <c:numCache>
                <c:formatCode>_(* #,##0_);_(* \(#,##0\);_(* "-"??_);_(@_)</c:formatCode>
                <c:ptCount val="12"/>
                <c:pt idx="0">
                  <c:v>94996.200000000012</c:v>
                </c:pt>
                <c:pt idx="1">
                  <c:v>578051.25</c:v>
                </c:pt>
                <c:pt idx="2">
                  <c:v>725488.4</c:v>
                </c:pt>
                <c:pt idx="3">
                  <c:v>808089</c:v>
                </c:pt>
                <c:pt idx="4">
                  <c:v>1156815</c:v>
                </c:pt>
                <c:pt idx="5">
                  <c:v>1200052.3500000001</c:v>
                </c:pt>
                <c:pt idx="6">
                  <c:v>2187900.3500000006</c:v>
                </c:pt>
                <c:pt idx="7">
                  <c:v>3697704</c:v>
                </c:pt>
                <c:pt idx="8">
                  <c:v>4941881</c:v>
                </c:pt>
                <c:pt idx="9">
                  <c:v>5621949.9000000004</c:v>
                </c:pt>
                <c:pt idx="10">
                  <c:v>7010957.25</c:v>
                </c:pt>
                <c:pt idx="11">
                  <c:v>13838585.399999999</c:v>
                </c:pt>
              </c:numCache>
            </c:numRef>
          </c:val>
          <c:extLst>
            <c:ext xmlns:c16="http://schemas.microsoft.com/office/drawing/2014/chart" uri="{C3380CC4-5D6E-409C-BE32-E72D297353CC}">
              <c16:uniqueId val="{00000000-E7DA-4620-9AFC-6195A6F25103}"/>
            </c:ext>
          </c:extLst>
        </c:ser>
        <c:dLbls>
          <c:dLblPos val="outEnd"/>
          <c:showLegendKey val="0"/>
          <c:showVal val="1"/>
          <c:showCatName val="0"/>
          <c:showSerName val="0"/>
          <c:showPercent val="0"/>
          <c:showBubbleSize val="0"/>
        </c:dLbls>
        <c:gapWidth val="182"/>
        <c:axId val="286965791"/>
        <c:axId val="280781855"/>
      </c:barChart>
      <c:catAx>
        <c:axId val="28696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781855"/>
        <c:crosses val="autoZero"/>
        <c:auto val="1"/>
        <c:lblAlgn val="ctr"/>
        <c:lblOffset val="100"/>
        <c:noMultiLvlLbl val="0"/>
      </c:catAx>
      <c:valAx>
        <c:axId val="280781855"/>
        <c:scaling>
          <c:orientation val="minMax"/>
        </c:scaling>
        <c:delete val="1"/>
        <c:axPos val="b"/>
        <c:numFmt formatCode="_(* #,##0_);_(* \(#,##0\);_(* &quot;-&quot;??_);_(@_)" sourceLinked="1"/>
        <c:majorTickMark val="none"/>
        <c:minorTickMark val="none"/>
        <c:tickLblPos val="nextTo"/>
        <c:crossAx val="28696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 project.xlsx]Order Priority Distribution!PivotTable6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Priority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Priority Distribution'!$B$3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Priority Distribution'!$A$4:$A$8</c:f>
              <c:strCache>
                <c:ptCount val="4"/>
                <c:pt idx="0">
                  <c:v>H</c:v>
                </c:pt>
                <c:pt idx="1">
                  <c:v>L</c:v>
                </c:pt>
                <c:pt idx="2">
                  <c:v>C</c:v>
                </c:pt>
                <c:pt idx="3">
                  <c:v>M</c:v>
                </c:pt>
              </c:strCache>
            </c:strRef>
          </c:cat>
          <c:val>
            <c:numRef>
              <c:f>'Order Priority Distribution'!$B$4:$B$8</c:f>
              <c:numCache>
                <c:formatCode>_(* #,##0_);_(* \(#,##0\);_(* "-"??_);_(@_)</c:formatCode>
                <c:ptCount val="4"/>
                <c:pt idx="0">
                  <c:v>154212</c:v>
                </c:pt>
                <c:pt idx="1">
                  <c:v>146876</c:v>
                </c:pt>
                <c:pt idx="2">
                  <c:v>116951</c:v>
                </c:pt>
                <c:pt idx="3">
                  <c:v>94832</c:v>
                </c:pt>
              </c:numCache>
            </c:numRef>
          </c:val>
          <c:extLst>
            <c:ext xmlns:c16="http://schemas.microsoft.com/office/drawing/2014/chart" uri="{C3380CC4-5D6E-409C-BE32-E72D297353CC}">
              <c16:uniqueId val="{00000000-DC88-48F7-A8A4-A1C3B7E34B12}"/>
            </c:ext>
          </c:extLst>
        </c:ser>
        <c:dLbls>
          <c:dLblPos val="outEnd"/>
          <c:showLegendKey val="0"/>
          <c:showVal val="1"/>
          <c:showCatName val="0"/>
          <c:showSerName val="0"/>
          <c:showPercent val="0"/>
          <c:showBubbleSize val="0"/>
        </c:dLbls>
        <c:gapWidth val="219"/>
        <c:overlap val="-27"/>
        <c:axId val="279600479"/>
        <c:axId val="395289215"/>
      </c:barChart>
      <c:catAx>
        <c:axId val="27960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89215"/>
        <c:crosses val="autoZero"/>
        <c:auto val="1"/>
        <c:lblAlgn val="ctr"/>
        <c:lblOffset val="100"/>
        <c:noMultiLvlLbl val="0"/>
      </c:catAx>
      <c:valAx>
        <c:axId val="395289215"/>
        <c:scaling>
          <c:orientation val="minMax"/>
        </c:scaling>
        <c:delete val="1"/>
        <c:axPos val="l"/>
        <c:numFmt formatCode="_(* #,##0_);_(* \(#,##0\);_(* &quot;-&quot;??_);_(@_)" sourceLinked="1"/>
        <c:majorTickMark val="none"/>
        <c:minorTickMark val="none"/>
        <c:tickLblPos val="nextTo"/>
        <c:crossAx val="279600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 project.xlsx]Percentage of Sales Channel!PivotTable7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Sales</a:t>
            </a:r>
            <a:r>
              <a:rPr lang="en-US" baseline="0"/>
              <a:t>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'Percentage of Sales Channel'!$B$3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FE-41AA-89C4-7AB61920E2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FE-41AA-89C4-7AB61920E2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'Percentage of Sales Channel'!$A$4:$A$6</c:f>
              <c:strCache>
                <c:ptCount val="2"/>
                <c:pt idx="0">
                  <c:v>Offline</c:v>
                </c:pt>
                <c:pt idx="1">
                  <c:v>Online</c:v>
                </c:pt>
              </c:strCache>
            </c:strRef>
          </c:cat>
          <c:val>
            <c:numRef>
              <c:f>'Percentage of Sales Channel'!$B$4:$B$6</c:f>
              <c:numCache>
                <c:formatCode>0%</c:formatCode>
                <c:ptCount val="2"/>
                <c:pt idx="0">
                  <c:v>0.5</c:v>
                </c:pt>
                <c:pt idx="1">
                  <c:v>0.5</c:v>
                </c:pt>
              </c:numCache>
            </c:numRef>
          </c:val>
          <c:extLst>
            <c:ext xmlns:c16="http://schemas.microsoft.com/office/drawing/2014/chart" uri="{C3380CC4-5D6E-409C-BE32-E72D297353CC}">
              <c16:uniqueId val="{00000000-5877-4A46-9287-54A2DB63672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 project.xlsx]Net Profit vs Total Cost!PivotTable8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Profit vs Total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'Net Profit vs Total Cost'!$B$3</c:f>
              <c:strCache>
                <c:ptCount val="1"/>
                <c:pt idx="0">
                  <c:v>Sum of Total Cost</c:v>
                </c:pt>
              </c:strCache>
            </c:strRef>
          </c:tx>
          <c:spPr>
            <a:ln w="28575" cap="rnd">
              <a:solidFill>
                <a:schemeClr val="accent1"/>
              </a:solidFill>
              <a:round/>
            </a:ln>
            <a:effectLst/>
          </c:spPr>
          <c:marker>
            <c:symbol val="none"/>
          </c:marker>
          <c:cat>
            <c:strRef>
              <c:f>'Net Profit vs Total Cost'!$A$4:$A$12</c:f>
              <c:strCache>
                <c:ptCount val="8"/>
                <c:pt idx="0">
                  <c:v>2010</c:v>
                </c:pt>
                <c:pt idx="1">
                  <c:v>2011</c:v>
                </c:pt>
                <c:pt idx="2">
                  <c:v>2012</c:v>
                </c:pt>
                <c:pt idx="3">
                  <c:v>2013</c:v>
                </c:pt>
                <c:pt idx="4">
                  <c:v>2014</c:v>
                </c:pt>
                <c:pt idx="5">
                  <c:v>2015</c:v>
                </c:pt>
                <c:pt idx="6">
                  <c:v>2016</c:v>
                </c:pt>
                <c:pt idx="7">
                  <c:v>2017</c:v>
                </c:pt>
              </c:strCache>
            </c:strRef>
          </c:cat>
          <c:val>
            <c:numRef>
              <c:f>'Net Profit vs Total Cost'!$B$4:$B$12</c:f>
              <c:numCache>
                <c:formatCode>_(* #,##0_);_(* \(#,##0\);_(* "-"??_);_(@_)</c:formatCode>
                <c:ptCount val="8"/>
                <c:pt idx="0">
                  <c:v>12552867</c:v>
                </c:pt>
                <c:pt idx="1">
                  <c:v>8394634</c:v>
                </c:pt>
                <c:pt idx="2">
                  <c:v>22694906</c:v>
                </c:pt>
                <c:pt idx="3">
                  <c:v>13606505</c:v>
                </c:pt>
                <c:pt idx="4">
                  <c:v>10755264</c:v>
                </c:pt>
                <c:pt idx="5">
                  <c:v>8439856</c:v>
                </c:pt>
                <c:pt idx="6">
                  <c:v>7464256</c:v>
                </c:pt>
                <c:pt idx="7">
                  <c:v>9289329</c:v>
                </c:pt>
              </c:numCache>
            </c:numRef>
          </c:val>
          <c:smooth val="0"/>
          <c:extLst>
            <c:ext xmlns:c16="http://schemas.microsoft.com/office/drawing/2014/chart" uri="{C3380CC4-5D6E-409C-BE32-E72D297353CC}">
              <c16:uniqueId val="{00000000-07F7-430F-B906-D62F7A6F802D}"/>
            </c:ext>
          </c:extLst>
        </c:ser>
        <c:ser>
          <c:idx val="1"/>
          <c:order val="1"/>
          <c:tx>
            <c:strRef>
              <c:f>'Net Profit vs Total Cost'!$C$3</c:f>
              <c:strCache>
                <c:ptCount val="1"/>
                <c:pt idx="0">
                  <c:v>Sum of Net Profit</c:v>
                </c:pt>
              </c:strCache>
            </c:strRef>
          </c:tx>
          <c:spPr>
            <a:ln w="28575" cap="rnd">
              <a:solidFill>
                <a:schemeClr val="accent2"/>
              </a:solidFill>
              <a:round/>
            </a:ln>
            <a:effectLst/>
          </c:spPr>
          <c:marker>
            <c:symbol val="none"/>
          </c:marker>
          <c:cat>
            <c:strRef>
              <c:f>'Net Profit vs Total Cost'!$A$4:$A$12</c:f>
              <c:strCache>
                <c:ptCount val="8"/>
                <c:pt idx="0">
                  <c:v>2010</c:v>
                </c:pt>
                <c:pt idx="1">
                  <c:v>2011</c:v>
                </c:pt>
                <c:pt idx="2">
                  <c:v>2012</c:v>
                </c:pt>
                <c:pt idx="3">
                  <c:v>2013</c:v>
                </c:pt>
                <c:pt idx="4">
                  <c:v>2014</c:v>
                </c:pt>
                <c:pt idx="5">
                  <c:v>2015</c:v>
                </c:pt>
                <c:pt idx="6">
                  <c:v>2016</c:v>
                </c:pt>
                <c:pt idx="7">
                  <c:v>2017</c:v>
                </c:pt>
              </c:strCache>
            </c:strRef>
          </c:cat>
          <c:val>
            <c:numRef>
              <c:f>'Net Profit vs Total Cost'!$C$4:$C$12</c:f>
              <c:numCache>
                <c:formatCode>_(* #,##0_);_(* \(#,##0\);_(* "-"??_);_(@_)</c:formatCode>
                <c:ptCount val="8"/>
                <c:pt idx="0">
                  <c:v>6286726.6500000004</c:v>
                </c:pt>
                <c:pt idx="1">
                  <c:v>2583248.5499999998</c:v>
                </c:pt>
                <c:pt idx="2">
                  <c:v>8735027.6999999993</c:v>
                </c:pt>
                <c:pt idx="3">
                  <c:v>6376077.0000000009</c:v>
                </c:pt>
                <c:pt idx="4">
                  <c:v>5559042.7999999998</c:v>
                </c:pt>
                <c:pt idx="5">
                  <c:v>3781323.9500000007</c:v>
                </c:pt>
                <c:pt idx="6">
                  <c:v>4657676.1499999994</c:v>
                </c:pt>
                <c:pt idx="7">
                  <c:v>3883347.3</c:v>
                </c:pt>
              </c:numCache>
            </c:numRef>
          </c:val>
          <c:smooth val="0"/>
          <c:extLst>
            <c:ext xmlns:c16="http://schemas.microsoft.com/office/drawing/2014/chart" uri="{C3380CC4-5D6E-409C-BE32-E72D297353CC}">
              <c16:uniqueId val="{00000001-07F7-430F-B906-D62F7A6F802D}"/>
            </c:ext>
          </c:extLst>
        </c:ser>
        <c:dLbls>
          <c:showLegendKey val="0"/>
          <c:showVal val="0"/>
          <c:showCatName val="0"/>
          <c:showSerName val="0"/>
          <c:showPercent val="0"/>
          <c:showBubbleSize val="0"/>
        </c:dLbls>
        <c:smooth val="0"/>
        <c:axId val="279582879"/>
        <c:axId val="395292543"/>
      </c:lineChart>
      <c:catAx>
        <c:axId val="27958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292543"/>
        <c:crosses val="autoZero"/>
        <c:auto val="1"/>
        <c:lblAlgn val="ctr"/>
        <c:lblOffset val="100"/>
        <c:noMultiLvlLbl val="0"/>
      </c:catAx>
      <c:valAx>
        <c:axId val="39529254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58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 project.xlsx]Order Priority Distribution!PivotTable6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Order Priority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Priority Distribution'!$B$3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Priority Distribution'!$A$4:$A$8</c:f>
              <c:strCache>
                <c:ptCount val="4"/>
                <c:pt idx="0">
                  <c:v>H</c:v>
                </c:pt>
                <c:pt idx="1">
                  <c:v>L</c:v>
                </c:pt>
                <c:pt idx="2">
                  <c:v>C</c:v>
                </c:pt>
                <c:pt idx="3">
                  <c:v>M</c:v>
                </c:pt>
              </c:strCache>
            </c:strRef>
          </c:cat>
          <c:val>
            <c:numRef>
              <c:f>'Order Priority Distribution'!$B$4:$B$8</c:f>
              <c:numCache>
                <c:formatCode>_(* #,##0_);_(* \(#,##0\);_(* "-"??_);_(@_)</c:formatCode>
                <c:ptCount val="4"/>
                <c:pt idx="0">
                  <c:v>154212</c:v>
                </c:pt>
                <c:pt idx="1">
                  <c:v>146876</c:v>
                </c:pt>
                <c:pt idx="2">
                  <c:v>116951</c:v>
                </c:pt>
                <c:pt idx="3">
                  <c:v>94832</c:v>
                </c:pt>
              </c:numCache>
            </c:numRef>
          </c:val>
          <c:extLst>
            <c:ext xmlns:c16="http://schemas.microsoft.com/office/drawing/2014/chart" uri="{C3380CC4-5D6E-409C-BE32-E72D297353CC}">
              <c16:uniqueId val="{00000000-770C-475D-BAFD-618C2E788794}"/>
            </c:ext>
          </c:extLst>
        </c:ser>
        <c:dLbls>
          <c:dLblPos val="outEnd"/>
          <c:showLegendKey val="0"/>
          <c:showVal val="1"/>
          <c:showCatName val="0"/>
          <c:showSerName val="0"/>
          <c:showPercent val="0"/>
          <c:showBubbleSize val="0"/>
        </c:dLbls>
        <c:gapWidth val="219"/>
        <c:overlap val="-27"/>
        <c:axId val="279600479"/>
        <c:axId val="395289215"/>
      </c:barChart>
      <c:catAx>
        <c:axId val="27960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395289215"/>
        <c:crosses val="autoZero"/>
        <c:auto val="1"/>
        <c:lblAlgn val="ctr"/>
        <c:lblOffset val="100"/>
        <c:noMultiLvlLbl val="0"/>
      </c:catAx>
      <c:valAx>
        <c:axId val="395289215"/>
        <c:scaling>
          <c:orientation val="minMax"/>
        </c:scaling>
        <c:delete val="1"/>
        <c:axPos val="l"/>
        <c:numFmt formatCode="_(* #,##0_);_(* \(#,##0\);_(* &quot;-&quot;??_);_(@_)" sourceLinked="1"/>
        <c:majorTickMark val="none"/>
        <c:minorTickMark val="none"/>
        <c:tickLblPos val="nextTo"/>
        <c:crossAx val="279600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 project.xlsx]Profit by Item Type!PivotTable5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Profit</a:t>
            </a:r>
            <a:r>
              <a:rPr lang="en-US" b="1" baseline="0">
                <a:solidFill>
                  <a:schemeClr val="accent2">
                    <a:lumMod val="75000"/>
                  </a:schemeClr>
                </a:solidFill>
              </a:rPr>
              <a:t> by Item Type</a:t>
            </a:r>
            <a:endParaRPr lang="en-US"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3856031834258"/>
          <c:y val="0.12778639104220502"/>
          <c:w val="0.63549569960181629"/>
          <c:h val="0.83431524547803615"/>
        </c:manualLayout>
      </c:layout>
      <c:barChart>
        <c:barDir val="bar"/>
        <c:grouping val="clustered"/>
        <c:varyColors val="0"/>
        <c:ser>
          <c:idx val="0"/>
          <c:order val="0"/>
          <c:tx>
            <c:strRef>
              <c:f>'Profit by Item Type'!$B$3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Item Type'!$A$4:$A$16</c:f>
              <c:strCache>
                <c:ptCount val="12"/>
                <c:pt idx="0">
                  <c:v>Fruits</c:v>
                </c:pt>
                <c:pt idx="1">
                  <c:v>Meat</c:v>
                </c:pt>
                <c:pt idx="2">
                  <c:v>Snacks</c:v>
                </c:pt>
                <c:pt idx="3">
                  <c:v>Beverages</c:v>
                </c:pt>
                <c:pt idx="4">
                  <c:v>Personal Care</c:v>
                </c:pt>
                <c:pt idx="5">
                  <c:v>Vegetables</c:v>
                </c:pt>
                <c:pt idx="6">
                  <c:v>Cereal</c:v>
                </c:pt>
                <c:pt idx="7">
                  <c:v>Baby Food</c:v>
                </c:pt>
                <c:pt idx="8">
                  <c:v>Clothes</c:v>
                </c:pt>
                <c:pt idx="9">
                  <c:v>Office Supplies</c:v>
                </c:pt>
                <c:pt idx="10">
                  <c:v>Household</c:v>
                </c:pt>
                <c:pt idx="11">
                  <c:v>Cosmetics</c:v>
                </c:pt>
              </c:strCache>
            </c:strRef>
          </c:cat>
          <c:val>
            <c:numRef>
              <c:f>'Profit by Item Type'!$B$4:$B$16</c:f>
              <c:numCache>
                <c:formatCode>_(* #,##0_);_(* \(#,##0\);_(* "-"??_);_(@_)</c:formatCode>
                <c:ptCount val="12"/>
                <c:pt idx="0">
                  <c:v>94996.200000000012</c:v>
                </c:pt>
                <c:pt idx="1">
                  <c:v>578051.25</c:v>
                </c:pt>
                <c:pt idx="2">
                  <c:v>725488.4</c:v>
                </c:pt>
                <c:pt idx="3">
                  <c:v>808089</c:v>
                </c:pt>
                <c:pt idx="4">
                  <c:v>1156815</c:v>
                </c:pt>
                <c:pt idx="5">
                  <c:v>1200052.3500000001</c:v>
                </c:pt>
                <c:pt idx="6">
                  <c:v>2187900.3500000006</c:v>
                </c:pt>
                <c:pt idx="7">
                  <c:v>3697704</c:v>
                </c:pt>
                <c:pt idx="8">
                  <c:v>4941881</c:v>
                </c:pt>
                <c:pt idx="9">
                  <c:v>5621949.9000000004</c:v>
                </c:pt>
                <c:pt idx="10">
                  <c:v>7010957.25</c:v>
                </c:pt>
                <c:pt idx="11">
                  <c:v>13838585.399999999</c:v>
                </c:pt>
              </c:numCache>
            </c:numRef>
          </c:val>
          <c:extLst>
            <c:ext xmlns:c16="http://schemas.microsoft.com/office/drawing/2014/chart" uri="{C3380CC4-5D6E-409C-BE32-E72D297353CC}">
              <c16:uniqueId val="{00000000-FA68-46D8-A141-8651274A2DDA}"/>
            </c:ext>
          </c:extLst>
        </c:ser>
        <c:dLbls>
          <c:dLblPos val="outEnd"/>
          <c:showLegendKey val="0"/>
          <c:showVal val="1"/>
          <c:showCatName val="0"/>
          <c:showSerName val="0"/>
          <c:showPercent val="0"/>
          <c:showBubbleSize val="0"/>
        </c:dLbls>
        <c:gapWidth val="182"/>
        <c:axId val="286965791"/>
        <c:axId val="280781855"/>
      </c:barChart>
      <c:catAx>
        <c:axId val="28696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280781855"/>
        <c:crosses val="autoZero"/>
        <c:auto val="1"/>
        <c:lblAlgn val="ctr"/>
        <c:lblOffset val="100"/>
        <c:noMultiLvlLbl val="0"/>
      </c:catAx>
      <c:valAx>
        <c:axId val="280781855"/>
        <c:scaling>
          <c:orientation val="minMax"/>
        </c:scaling>
        <c:delete val="1"/>
        <c:axPos val="b"/>
        <c:numFmt formatCode="_(* #,##0_);_(* \(#,##0\);_(* &quot;-&quot;??_);_(@_)" sourceLinked="1"/>
        <c:majorTickMark val="none"/>
        <c:minorTickMark val="none"/>
        <c:tickLblPos val="nextTo"/>
        <c:crossAx val="28696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 project.xlsx]Net Profit vs Total Cost!PivotTable8</c:name>
    <c:fmtId val="2"/>
  </c:pivotSource>
  <c:chart>
    <c:title>
      <c:tx>
        <c:rich>
          <a:bodyPr rot="0" spcFirstLastPara="1" vertOverflow="ellipsis" vert="horz" wrap="square" anchor="ctr" anchorCtr="1"/>
          <a:lstStyle/>
          <a:p>
            <a:pPr algn="ctr" rtl="0">
              <a:defRPr lang="en-US" sz="1400" b="1" i="0" u="none" strike="noStrike" kern="1200" spc="0" baseline="0">
                <a:solidFill>
                  <a:schemeClr val="accent2">
                    <a:lumMod val="75000"/>
                  </a:schemeClr>
                </a:solidFill>
                <a:latin typeface="+mn-lt"/>
                <a:ea typeface="+mn-ea"/>
                <a:cs typeface="+mn-cs"/>
              </a:defRPr>
            </a:pPr>
            <a:r>
              <a:rPr lang="en-US" sz="1400" b="1" i="0" u="none" strike="noStrike" kern="1200" spc="0" baseline="0">
                <a:solidFill>
                  <a:schemeClr val="accent2">
                    <a:lumMod val="75000"/>
                  </a:schemeClr>
                </a:solidFill>
                <a:latin typeface="+mn-lt"/>
                <a:ea typeface="+mn-ea"/>
                <a:cs typeface="+mn-cs"/>
              </a:rPr>
              <a:t>Net Profit vs Total Cost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341418377979"/>
          <c:y val="0.24726666666666666"/>
          <c:w val="0.52716997058784743"/>
          <c:h val="0.53354383202099742"/>
        </c:manualLayout>
      </c:layout>
      <c:lineChart>
        <c:grouping val="standard"/>
        <c:varyColors val="0"/>
        <c:ser>
          <c:idx val="0"/>
          <c:order val="0"/>
          <c:tx>
            <c:strRef>
              <c:f>'Net Profit vs Total Cost'!$B$3</c:f>
              <c:strCache>
                <c:ptCount val="1"/>
                <c:pt idx="0">
                  <c:v>Sum of Total Cost</c:v>
                </c:pt>
              </c:strCache>
            </c:strRef>
          </c:tx>
          <c:spPr>
            <a:ln w="28575" cap="rnd">
              <a:solidFill>
                <a:schemeClr val="accent2">
                  <a:lumMod val="75000"/>
                </a:schemeClr>
              </a:solidFill>
              <a:round/>
            </a:ln>
            <a:effectLst/>
          </c:spPr>
          <c:marker>
            <c:symbol val="none"/>
          </c:marker>
          <c:cat>
            <c:strRef>
              <c:f>'Net Profit vs Total Cost'!$A$4:$A$12</c:f>
              <c:strCache>
                <c:ptCount val="8"/>
                <c:pt idx="0">
                  <c:v>2010</c:v>
                </c:pt>
                <c:pt idx="1">
                  <c:v>2011</c:v>
                </c:pt>
                <c:pt idx="2">
                  <c:v>2012</c:v>
                </c:pt>
                <c:pt idx="3">
                  <c:v>2013</c:v>
                </c:pt>
                <c:pt idx="4">
                  <c:v>2014</c:v>
                </c:pt>
                <c:pt idx="5">
                  <c:v>2015</c:v>
                </c:pt>
                <c:pt idx="6">
                  <c:v>2016</c:v>
                </c:pt>
                <c:pt idx="7">
                  <c:v>2017</c:v>
                </c:pt>
              </c:strCache>
            </c:strRef>
          </c:cat>
          <c:val>
            <c:numRef>
              <c:f>'Net Profit vs Total Cost'!$B$4:$B$12</c:f>
              <c:numCache>
                <c:formatCode>_(* #,##0_);_(* \(#,##0\);_(* "-"??_);_(@_)</c:formatCode>
                <c:ptCount val="8"/>
                <c:pt idx="0">
                  <c:v>12552867</c:v>
                </c:pt>
                <c:pt idx="1">
                  <c:v>8394634</c:v>
                </c:pt>
                <c:pt idx="2">
                  <c:v>22694906</c:v>
                </c:pt>
                <c:pt idx="3">
                  <c:v>13606505</c:v>
                </c:pt>
                <c:pt idx="4">
                  <c:v>10755264</c:v>
                </c:pt>
                <c:pt idx="5">
                  <c:v>8439856</c:v>
                </c:pt>
                <c:pt idx="6">
                  <c:v>7464256</c:v>
                </c:pt>
                <c:pt idx="7">
                  <c:v>9289329</c:v>
                </c:pt>
              </c:numCache>
            </c:numRef>
          </c:val>
          <c:smooth val="0"/>
          <c:extLst>
            <c:ext xmlns:c16="http://schemas.microsoft.com/office/drawing/2014/chart" uri="{C3380CC4-5D6E-409C-BE32-E72D297353CC}">
              <c16:uniqueId val="{00000000-4173-4705-A869-36DC20F649FD}"/>
            </c:ext>
          </c:extLst>
        </c:ser>
        <c:ser>
          <c:idx val="1"/>
          <c:order val="1"/>
          <c:tx>
            <c:strRef>
              <c:f>'Net Profit vs Total Cost'!$C$3</c:f>
              <c:strCache>
                <c:ptCount val="1"/>
                <c:pt idx="0">
                  <c:v>Sum of Net Profit</c:v>
                </c:pt>
              </c:strCache>
            </c:strRef>
          </c:tx>
          <c:spPr>
            <a:ln w="28575" cap="rnd">
              <a:solidFill>
                <a:schemeClr val="accent2">
                  <a:lumMod val="40000"/>
                  <a:lumOff val="60000"/>
                </a:schemeClr>
              </a:solidFill>
              <a:round/>
            </a:ln>
            <a:effectLst/>
          </c:spPr>
          <c:marker>
            <c:symbol val="none"/>
          </c:marker>
          <c:cat>
            <c:strRef>
              <c:f>'Net Profit vs Total Cost'!$A$4:$A$12</c:f>
              <c:strCache>
                <c:ptCount val="8"/>
                <c:pt idx="0">
                  <c:v>2010</c:v>
                </c:pt>
                <c:pt idx="1">
                  <c:v>2011</c:v>
                </c:pt>
                <c:pt idx="2">
                  <c:v>2012</c:v>
                </c:pt>
                <c:pt idx="3">
                  <c:v>2013</c:v>
                </c:pt>
                <c:pt idx="4">
                  <c:v>2014</c:v>
                </c:pt>
                <c:pt idx="5">
                  <c:v>2015</c:v>
                </c:pt>
                <c:pt idx="6">
                  <c:v>2016</c:v>
                </c:pt>
                <c:pt idx="7">
                  <c:v>2017</c:v>
                </c:pt>
              </c:strCache>
            </c:strRef>
          </c:cat>
          <c:val>
            <c:numRef>
              <c:f>'Net Profit vs Total Cost'!$C$4:$C$12</c:f>
              <c:numCache>
                <c:formatCode>_(* #,##0_);_(* \(#,##0\);_(* "-"??_);_(@_)</c:formatCode>
                <c:ptCount val="8"/>
                <c:pt idx="0">
                  <c:v>6286726.6500000004</c:v>
                </c:pt>
                <c:pt idx="1">
                  <c:v>2583248.5499999998</c:v>
                </c:pt>
                <c:pt idx="2">
                  <c:v>8735027.6999999993</c:v>
                </c:pt>
                <c:pt idx="3">
                  <c:v>6376077.0000000009</c:v>
                </c:pt>
                <c:pt idx="4">
                  <c:v>5559042.7999999998</c:v>
                </c:pt>
                <c:pt idx="5">
                  <c:v>3781323.9500000007</c:v>
                </c:pt>
                <c:pt idx="6">
                  <c:v>4657676.1499999994</c:v>
                </c:pt>
                <c:pt idx="7">
                  <c:v>3883347.3</c:v>
                </c:pt>
              </c:numCache>
            </c:numRef>
          </c:val>
          <c:smooth val="0"/>
          <c:extLst>
            <c:ext xmlns:c16="http://schemas.microsoft.com/office/drawing/2014/chart" uri="{C3380CC4-5D6E-409C-BE32-E72D297353CC}">
              <c16:uniqueId val="{00000001-4173-4705-A869-36DC20F649FD}"/>
            </c:ext>
          </c:extLst>
        </c:ser>
        <c:dLbls>
          <c:showLegendKey val="0"/>
          <c:showVal val="0"/>
          <c:showCatName val="0"/>
          <c:showSerName val="0"/>
          <c:showPercent val="0"/>
          <c:showBubbleSize val="0"/>
        </c:dLbls>
        <c:smooth val="0"/>
        <c:axId val="279582879"/>
        <c:axId val="395292543"/>
      </c:lineChart>
      <c:catAx>
        <c:axId val="27958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395292543"/>
        <c:crosses val="autoZero"/>
        <c:auto val="1"/>
        <c:lblAlgn val="ctr"/>
        <c:lblOffset val="100"/>
        <c:noMultiLvlLbl val="0"/>
      </c:catAx>
      <c:valAx>
        <c:axId val="39529254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79582879"/>
        <c:crosses val="autoZero"/>
        <c:crossBetween val="between"/>
      </c:valAx>
      <c:spPr>
        <a:noFill/>
        <a:ln>
          <a:noFill/>
        </a:ln>
        <a:effectLst/>
      </c:spPr>
    </c:plotArea>
    <c:legend>
      <c:legendPos val="r"/>
      <c:layout>
        <c:manualLayout>
          <c:xMode val="edge"/>
          <c:yMode val="edge"/>
          <c:x val="0.74120444743402036"/>
          <c:y val="0.31446561679790019"/>
          <c:w val="0.23869505005341665"/>
          <c:h val="0.425001574803149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[HYBRID STORES project.xlsx]Percentage of Sales Channel!PivotTable7</c:name>
    <c:fmtId val="2"/>
  </c:pivotSource>
  <c:chart>
    <c:title>
      <c:tx>
        <c:rich>
          <a:bodyPr rot="0" spcFirstLastPara="1" vertOverflow="ellipsis" vert="horz" wrap="square" anchor="ctr" anchorCtr="1"/>
          <a:lstStyle/>
          <a:p>
            <a:pPr algn="ctr" rtl="0">
              <a:defRPr lang="en-US" sz="1400" b="1" i="0" u="none" strike="noStrike" kern="1200" spc="0" baseline="0">
                <a:solidFill>
                  <a:schemeClr val="accent2">
                    <a:lumMod val="75000"/>
                  </a:schemeClr>
                </a:solidFill>
                <a:latin typeface="+mn-lt"/>
                <a:ea typeface="+mn-ea"/>
                <a:cs typeface="+mn-cs"/>
              </a:defRPr>
            </a:pPr>
            <a:r>
              <a:rPr lang="en-US" sz="1400" b="1" i="0" u="none" strike="noStrike" kern="1200" spc="0" baseline="0">
                <a:solidFill>
                  <a:schemeClr val="accent2">
                    <a:lumMod val="75000"/>
                  </a:schemeClr>
                </a:solidFill>
                <a:latin typeface="+mn-lt"/>
                <a:ea typeface="+mn-ea"/>
                <a:cs typeface="+mn-cs"/>
              </a:rPr>
              <a:t>Percentage of Sales Channel</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w="19050">
            <a:noFill/>
          </a:ln>
          <a:effectLst/>
        </c:spPr>
      </c:pivotFmt>
      <c:pivotFmt>
        <c:idx val="6"/>
        <c:spPr>
          <a:solidFill>
            <a:schemeClr val="accent1"/>
          </a:solidFill>
          <a:ln w="19050">
            <a:noFill/>
          </a:ln>
          <a:effectLst/>
        </c:spPr>
      </c:pivotFmt>
    </c:pivotFmts>
    <c:plotArea>
      <c:layout/>
      <c:pieChart>
        <c:varyColors val="1"/>
        <c:ser>
          <c:idx val="0"/>
          <c:order val="0"/>
          <c:tx>
            <c:strRef>
              <c:f>'Percentage of Sales Channel'!$B$3</c:f>
              <c:strCache>
                <c:ptCount val="1"/>
                <c:pt idx="0">
                  <c:v>Total</c:v>
                </c:pt>
              </c:strCache>
            </c:strRef>
          </c:tx>
          <c:spPr>
            <a:ln>
              <a:noFill/>
            </a:ln>
          </c:spPr>
          <c:dPt>
            <c:idx val="0"/>
            <c:bubble3D val="0"/>
            <c:spPr>
              <a:solidFill>
                <a:schemeClr val="accent2">
                  <a:lumMod val="40000"/>
                  <a:lumOff val="60000"/>
                </a:schemeClr>
              </a:solidFill>
              <a:ln w="19050">
                <a:noFill/>
              </a:ln>
              <a:effectLst/>
            </c:spPr>
            <c:extLst>
              <c:ext xmlns:c16="http://schemas.microsoft.com/office/drawing/2014/chart" uri="{C3380CC4-5D6E-409C-BE32-E72D297353CC}">
                <c16:uniqueId val="{00000001-4408-44CF-AD6B-ACA22AC05EA0}"/>
              </c:ext>
            </c:extLst>
          </c:dPt>
          <c:dPt>
            <c:idx val="1"/>
            <c:bubble3D val="0"/>
            <c:spPr>
              <a:solidFill>
                <a:schemeClr val="accent2"/>
              </a:solidFill>
              <a:ln w="19050">
                <a:noFill/>
              </a:ln>
              <a:effectLst/>
            </c:spPr>
            <c:extLst>
              <c:ext xmlns:c16="http://schemas.microsoft.com/office/drawing/2014/chart" uri="{C3380CC4-5D6E-409C-BE32-E72D297353CC}">
                <c16:uniqueId val="{00000003-4408-44CF-AD6B-ACA22AC05E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'Percentage of Sales Channel'!$A$4:$A$6</c:f>
              <c:strCache>
                <c:ptCount val="2"/>
                <c:pt idx="0">
                  <c:v>Offline</c:v>
                </c:pt>
                <c:pt idx="1">
                  <c:v>Online</c:v>
                </c:pt>
              </c:strCache>
            </c:strRef>
          </c:cat>
          <c:val>
            <c:numRef>
              <c:f>'Percentage of Sales Channel'!$B$4:$B$6</c:f>
              <c:numCache>
                <c:formatCode>0%</c:formatCode>
                <c:ptCount val="2"/>
                <c:pt idx="0">
                  <c:v>0.5</c:v>
                </c:pt>
                <c:pt idx="1">
                  <c:v>0.5</c:v>
                </c:pt>
              </c:numCache>
            </c:numRef>
          </c:val>
          <c:extLst>
            <c:ext xmlns:c16="http://schemas.microsoft.com/office/drawing/2014/chart" uri="{C3380CC4-5D6E-409C-BE32-E72D297353CC}">
              <c16:uniqueId val="{00000004-4408-44CF-AD6B-ACA22AC05EA0}"/>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0</xdr:colOff>
      <xdr:row>2</xdr:row>
      <xdr:rowOff>14287</xdr:rowOff>
    </xdr:from>
    <xdr:to>
      <xdr:col>12</xdr:col>
      <xdr:colOff>400050</xdr:colOff>
      <xdr:row>21</xdr:row>
      <xdr:rowOff>9525</xdr:rowOff>
    </xdr:to>
    <xdr:graphicFrame macro="">
      <xdr:nvGraphicFramePr>
        <xdr:cNvPr id="2" name="Chart 1">
          <a:extLst>
            <a:ext uri="{FF2B5EF4-FFF2-40B4-BE49-F238E27FC236}">
              <a16:creationId xmlns:a16="http://schemas.microsoft.com/office/drawing/2014/main" id="{57822D98-9E6F-495D-AA16-32B1D6E00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428625</xdr:colOff>
      <xdr:row>3</xdr:row>
      <xdr:rowOff>109537</xdr:rowOff>
    </xdr:from>
    <xdr:to>
      <xdr:col>11</xdr:col>
      <xdr:colOff>123825</xdr:colOff>
      <xdr:row>17</xdr:row>
      <xdr:rowOff>185737</xdr:rowOff>
    </xdr:to>
    <xdr:graphicFrame macro="">
      <xdr:nvGraphicFramePr>
        <xdr:cNvPr id="2" name="Chart 1">
          <a:extLst>
            <a:ext uri="{FF2B5EF4-FFF2-40B4-BE49-F238E27FC236}">
              <a16:creationId xmlns:a16="http://schemas.microsoft.com/office/drawing/2014/main" id="{9A2AD84E-E575-4AE7-BC19-B9612E5FE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161925</xdr:colOff>
      <xdr:row>2</xdr:row>
      <xdr:rowOff>109537</xdr:rowOff>
    </xdr:from>
    <xdr:to>
      <xdr:col>10</xdr:col>
      <xdr:colOff>466725</xdr:colOff>
      <xdr:row>16</xdr:row>
      <xdr:rowOff>185737</xdr:rowOff>
    </xdr:to>
    <xdr:graphicFrame macro="">
      <xdr:nvGraphicFramePr>
        <xdr:cNvPr id="2" name="Chart 1">
          <a:extLst>
            <a:ext uri="{FF2B5EF4-FFF2-40B4-BE49-F238E27FC236}">
              <a16:creationId xmlns:a16="http://schemas.microsoft.com/office/drawing/2014/main" id="{F41659D0-D01C-4281-B469-F78657A09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104775</xdr:colOff>
      <xdr:row>2</xdr:row>
      <xdr:rowOff>14286</xdr:rowOff>
    </xdr:from>
    <xdr:to>
      <xdr:col>13</xdr:col>
      <xdr:colOff>457200</xdr:colOff>
      <xdr:row>18</xdr:row>
      <xdr:rowOff>190499</xdr:rowOff>
    </xdr:to>
    <xdr:graphicFrame macro="">
      <xdr:nvGraphicFramePr>
        <xdr:cNvPr id="2" name="Chart 1">
          <a:extLst>
            <a:ext uri="{FF2B5EF4-FFF2-40B4-BE49-F238E27FC236}">
              <a16:creationId xmlns:a16="http://schemas.microsoft.com/office/drawing/2014/main" id="{482E134A-61E2-43CB-9D93-C25F7997B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171450</xdr:rowOff>
    </xdr:from>
    <xdr:to>
      <xdr:col>21</xdr:col>
      <xdr:colOff>571500</xdr:colOff>
      <xdr:row>25</xdr:row>
      <xdr:rowOff>28575</xdr:rowOff>
    </xdr:to>
    <xdr:sp macro="" textlink="">
      <xdr:nvSpPr>
        <xdr:cNvPr id="4" name="Rectangle 3">
          <a:extLst>
            <a:ext uri="{FF2B5EF4-FFF2-40B4-BE49-F238E27FC236}">
              <a16:creationId xmlns:a16="http://schemas.microsoft.com/office/drawing/2014/main" id="{8D6F3372-ED33-4E45-AC16-551B260F93D4}"/>
            </a:ext>
          </a:extLst>
        </xdr:cNvPr>
        <xdr:cNvSpPr/>
      </xdr:nvSpPr>
      <xdr:spPr>
        <a:xfrm>
          <a:off x="0" y="361950"/>
          <a:ext cx="13373100" cy="4429125"/>
        </a:xfrm>
        <a:prstGeom prst="rect">
          <a:avLst/>
        </a:prstGeom>
        <a:solidFill>
          <a:schemeClr val="bg1">
            <a:lumMod val="95000"/>
          </a:schemeClr>
        </a:solidFill>
        <a:ln w="19050">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9525</xdr:rowOff>
    </xdr:from>
    <xdr:to>
      <xdr:col>20</xdr:col>
      <xdr:colOff>571500</xdr:colOff>
      <xdr:row>2</xdr:row>
      <xdr:rowOff>76200</xdr:rowOff>
    </xdr:to>
    <xdr:sp macro="" textlink="">
      <xdr:nvSpPr>
        <xdr:cNvPr id="5" name="Rectangle 4">
          <a:extLst>
            <a:ext uri="{FF2B5EF4-FFF2-40B4-BE49-F238E27FC236}">
              <a16:creationId xmlns:a16="http://schemas.microsoft.com/office/drawing/2014/main" id="{781087D5-E588-4204-BB27-9C35680DB977}"/>
            </a:ext>
          </a:extLst>
        </xdr:cNvPr>
        <xdr:cNvSpPr/>
      </xdr:nvSpPr>
      <xdr:spPr>
        <a:xfrm>
          <a:off x="0" y="9525"/>
          <a:ext cx="12763500" cy="447675"/>
        </a:xfrm>
        <a:prstGeom prst="rec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504826</xdr:colOff>
      <xdr:row>2</xdr:row>
      <xdr:rowOff>95251</xdr:rowOff>
    </xdr:from>
    <xdr:to>
      <xdr:col>7</xdr:col>
      <xdr:colOff>171450</xdr:colOff>
      <xdr:row>11</xdr:row>
      <xdr:rowOff>1</xdr:rowOff>
    </xdr:to>
    <xdr:graphicFrame macro="">
      <xdr:nvGraphicFramePr>
        <xdr:cNvPr id="6" name="Chart 5">
          <a:extLst>
            <a:ext uri="{FF2B5EF4-FFF2-40B4-BE49-F238E27FC236}">
              <a16:creationId xmlns:a16="http://schemas.microsoft.com/office/drawing/2014/main" id="{D5E56D64-9EE7-4159-8BCE-8AAE386F1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228603</xdr:colOff>
      <xdr:row>2</xdr:row>
      <xdr:rowOff>95250</xdr:rowOff>
    </xdr:from>
    <xdr:to>
      <xdr:col>13</xdr:col>
      <xdr:colOff>342901</xdr:colOff>
      <xdr:row>21</xdr:row>
      <xdr:rowOff>9526</xdr:rowOff>
    </xdr:to>
    <xdr:graphicFrame macro="">
      <xdr:nvGraphicFramePr>
        <xdr:cNvPr id="8" name="Chart 7">
          <a:extLst>
            <a:ext uri="{FF2B5EF4-FFF2-40B4-BE49-F238E27FC236}">
              <a16:creationId xmlns:a16="http://schemas.microsoft.com/office/drawing/2014/main" id="{D2447CC3-3A6B-435B-A226-F9447CBE6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123825</xdr:colOff>
      <xdr:row>2</xdr:row>
      <xdr:rowOff>95250</xdr:rowOff>
    </xdr:from>
    <xdr:to>
      <xdr:col>2</xdr:col>
      <xdr:colOff>428625</xdr:colOff>
      <xdr:row>6</xdr:row>
      <xdr:rowOff>152400</xdr:rowOff>
    </xdr:to>
    <xdr:sp macro="" textlink="">
      <xdr:nvSpPr>
        <xdr:cNvPr id="12" name="Rectangle 11">
          <a:extLst>
            <a:ext uri="{FF2B5EF4-FFF2-40B4-BE49-F238E27FC236}">
              <a16:creationId xmlns:a16="http://schemas.microsoft.com/office/drawing/2014/main" id="{220EE8AE-E315-441B-92D4-EC3204B9D638}"/>
            </a:ext>
          </a:extLst>
        </xdr:cNvPr>
        <xdr:cNvSpPr/>
      </xdr:nvSpPr>
      <xdr:spPr>
        <a:xfrm>
          <a:off x="123825" y="476250"/>
          <a:ext cx="1524000" cy="819150"/>
        </a:xfrm>
        <a:prstGeom prst="rect">
          <a:avLst/>
        </a:prstGeom>
        <a:noFill/>
        <a:ln w="19050">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123825</xdr:colOff>
      <xdr:row>4</xdr:row>
      <xdr:rowOff>104775</xdr:rowOff>
    </xdr:from>
    <xdr:to>
      <xdr:col>2</xdr:col>
      <xdr:colOff>428625</xdr:colOff>
      <xdr:row>4</xdr:row>
      <xdr:rowOff>104775</xdr:rowOff>
    </xdr:to>
    <xdr:cxnSp macro="">
      <xdr:nvCxnSpPr>
        <xdr:cNvPr id="14" name="Straight Connector 13">
          <a:extLst>
            <a:ext uri="{FF2B5EF4-FFF2-40B4-BE49-F238E27FC236}">
              <a16:creationId xmlns:a16="http://schemas.microsoft.com/office/drawing/2014/main" id="{9F8342A2-5EF1-43CA-95B5-5E5AFFBAECC4}"/>
            </a:ext>
          </a:extLst>
        </xdr:cNvPr>
        <xdr:cNvCxnSpPr/>
      </xdr:nvCxnSpPr>
      <xdr:spPr>
        <a:xfrm>
          <a:off x="123825" y="866775"/>
          <a:ext cx="1524000" cy="0"/>
        </a:xfrm>
        <a:prstGeom prst="line">
          <a:avLst/>
        </a:prstGeom>
        <a:ln w="19050">
          <a:solidFill>
            <a:schemeClr val="accent2">
              <a:lumMod val="75000"/>
            </a:schemeClr>
          </a:solidFill>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0</xdr:col>
      <xdr:colOff>235747</xdr:colOff>
      <xdr:row>4</xdr:row>
      <xdr:rowOff>145548</xdr:rowOff>
    </xdr:from>
    <xdr:ext cx="1319208" cy="342786"/>
    <xdr:sp macro="" textlink="Summary!$A$4">
      <xdr:nvSpPr>
        <xdr:cNvPr id="16" name="Rectangle 15">
          <a:extLst>
            <a:ext uri="{FF2B5EF4-FFF2-40B4-BE49-F238E27FC236}">
              <a16:creationId xmlns:a16="http://schemas.microsoft.com/office/drawing/2014/main" id="{05C4D4B8-0EB8-4C2E-B5EC-CB4DF6DD99E2}"/>
            </a:ext>
          </a:extLst>
        </xdr:cNvPr>
        <xdr:cNvSpPr/>
      </xdr:nvSpPr>
      <xdr:spPr>
        <a:xfrm>
          <a:off x="235747" y="907548"/>
          <a:ext cx="1319208" cy="342786"/>
        </a:xfrm>
        <a:prstGeom prst="rect">
          <a:avLst/>
        </a:prstGeom>
        <a:noFill/>
      </xdr:spPr>
      <xdr:txBody>
        <a:bodyPr wrap="none" lIns="91440" tIns="45720" rIns="91440" bIns="45720">
          <a:spAutoFit/>
        </a:bodyPr>
        <a:lstStyle/>
        <a:p>
          <a:pPr algn="ctr"/>
          <a:fld id="{7A98A57A-61EB-4561-A5EF-45E915BBD7FA}" type="TxLink">
            <a:rPr lang="en-US" sz="1600" b="1" i="0" u="none" strike="noStrike" cap="none" spc="0">
              <a:ln w="0"/>
              <a:solidFill>
                <a:schemeClr val="accent2">
                  <a:lumMod val="75000"/>
                </a:schemeClr>
              </a:solidFill>
              <a:effectLst/>
              <a:latin typeface="+mn-lt"/>
              <a:cs typeface="Calibri"/>
            </a:rPr>
            <a:pPr algn="ctr"/>
            <a:t> 137,263,375 </a:t>
          </a:fld>
          <a:endParaRPr lang="en-US" sz="7200" b="1" cap="none" spc="0">
            <a:ln w="0"/>
            <a:solidFill>
              <a:schemeClr val="accent2">
                <a:lumMod val="75000"/>
              </a:schemeClr>
            </a:solidFill>
            <a:effectLst/>
            <a:latin typeface="+mn-lt"/>
          </a:endParaRPr>
        </a:p>
      </xdr:txBody>
    </xdr:sp>
    <xdr:clientData/>
  </xdr:oneCellAnchor>
  <xdr:oneCellAnchor>
    <xdr:from>
      <xdr:col>0</xdr:col>
      <xdr:colOff>181629</xdr:colOff>
      <xdr:row>2</xdr:row>
      <xdr:rowOff>116973</xdr:rowOff>
    </xdr:from>
    <xdr:ext cx="1408399" cy="342786"/>
    <xdr:sp macro="" textlink="">
      <xdr:nvSpPr>
        <xdr:cNvPr id="17" name="Rectangle 16">
          <a:extLst>
            <a:ext uri="{FF2B5EF4-FFF2-40B4-BE49-F238E27FC236}">
              <a16:creationId xmlns:a16="http://schemas.microsoft.com/office/drawing/2014/main" id="{1F97CDA3-026E-4745-B752-110210C11685}"/>
            </a:ext>
          </a:extLst>
        </xdr:cNvPr>
        <xdr:cNvSpPr/>
      </xdr:nvSpPr>
      <xdr:spPr>
        <a:xfrm>
          <a:off x="181629" y="497973"/>
          <a:ext cx="1408399" cy="342786"/>
        </a:xfrm>
        <a:prstGeom prst="rect">
          <a:avLst/>
        </a:prstGeom>
        <a:noFill/>
      </xdr:spPr>
      <xdr:txBody>
        <a:bodyPr wrap="none" lIns="91440" tIns="45720" rIns="91440" bIns="45720">
          <a:spAutoFit/>
        </a:bodyPr>
        <a:lstStyle/>
        <a:p>
          <a:pPr marL="0" indent="0" algn="ctr"/>
          <a:r>
            <a:rPr lang="en-US" sz="1600" b="1" i="0" u="none" strike="noStrike" cap="none" spc="0">
              <a:ln w="0"/>
              <a:solidFill>
                <a:schemeClr val="accent2">
                  <a:lumMod val="75000"/>
                </a:schemeClr>
              </a:solidFill>
              <a:effectLst/>
              <a:latin typeface="+mn-lt"/>
              <a:ea typeface="+mn-ea"/>
              <a:cs typeface="Calibri"/>
            </a:rPr>
            <a:t>Total Revenue</a:t>
          </a:r>
        </a:p>
      </xdr:txBody>
    </xdr:sp>
    <xdr:clientData/>
  </xdr:oneCellAnchor>
  <xdr:twoCellAnchor>
    <xdr:from>
      <xdr:col>0</xdr:col>
      <xdr:colOff>123825</xdr:colOff>
      <xdr:row>7</xdr:row>
      <xdr:rowOff>9525</xdr:rowOff>
    </xdr:from>
    <xdr:to>
      <xdr:col>2</xdr:col>
      <xdr:colOff>428625</xdr:colOff>
      <xdr:row>11</xdr:row>
      <xdr:rowOff>47625</xdr:rowOff>
    </xdr:to>
    <xdr:sp macro="" textlink="">
      <xdr:nvSpPr>
        <xdr:cNvPr id="18" name="Rectangle 17">
          <a:extLst>
            <a:ext uri="{FF2B5EF4-FFF2-40B4-BE49-F238E27FC236}">
              <a16:creationId xmlns:a16="http://schemas.microsoft.com/office/drawing/2014/main" id="{F99187A0-927F-40F9-9924-6583BB04EB64}"/>
            </a:ext>
          </a:extLst>
        </xdr:cNvPr>
        <xdr:cNvSpPr/>
      </xdr:nvSpPr>
      <xdr:spPr>
        <a:xfrm>
          <a:off x="123825" y="1343025"/>
          <a:ext cx="1524000" cy="800100"/>
        </a:xfrm>
        <a:prstGeom prst="rect">
          <a:avLst/>
        </a:prstGeom>
        <a:noFill/>
        <a:ln w="19050">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9</xdr:row>
      <xdr:rowOff>38100</xdr:rowOff>
    </xdr:from>
    <xdr:to>
      <xdr:col>2</xdr:col>
      <xdr:colOff>428625</xdr:colOff>
      <xdr:row>9</xdr:row>
      <xdr:rowOff>38100</xdr:rowOff>
    </xdr:to>
    <xdr:cxnSp macro="">
      <xdr:nvCxnSpPr>
        <xdr:cNvPr id="20" name="Straight Connector 19">
          <a:extLst>
            <a:ext uri="{FF2B5EF4-FFF2-40B4-BE49-F238E27FC236}">
              <a16:creationId xmlns:a16="http://schemas.microsoft.com/office/drawing/2014/main" id="{84CC6A7E-8172-4C4A-9ECE-F861E4C66339}"/>
            </a:ext>
          </a:extLst>
        </xdr:cNvPr>
        <xdr:cNvCxnSpPr/>
      </xdr:nvCxnSpPr>
      <xdr:spPr>
        <a:xfrm>
          <a:off x="114300" y="1752600"/>
          <a:ext cx="1533525" cy="0"/>
        </a:xfrm>
        <a:prstGeom prst="line">
          <a:avLst/>
        </a:prstGeom>
        <a:ln w="19050">
          <a:solidFill>
            <a:schemeClr val="accent2">
              <a:lumMod val="75000"/>
            </a:schemeClr>
          </a:solidFill>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0</xdr:col>
      <xdr:colOff>112012</xdr:colOff>
      <xdr:row>7</xdr:row>
      <xdr:rowOff>19050</xdr:rowOff>
    </xdr:from>
    <xdr:ext cx="1527278" cy="342786"/>
    <xdr:sp macro="" textlink="">
      <xdr:nvSpPr>
        <xdr:cNvPr id="23" name="Rectangle 22">
          <a:extLst>
            <a:ext uri="{FF2B5EF4-FFF2-40B4-BE49-F238E27FC236}">
              <a16:creationId xmlns:a16="http://schemas.microsoft.com/office/drawing/2014/main" id="{A4C8016A-D1DF-4828-8C66-73D6105E65AC}"/>
            </a:ext>
          </a:extLst>
        </xdr:cNvPr>
        <xdr:cNvSpPr/>
      </xdr:nvSpPr>
      <xdr:spPr>
        <a:xfrm>
          <a:off x="112012" y="1352550"/>
          <a:ext cx="1527278" cy="342786"/>
        </a:xfrm>
        <a:prstGeom prst="rect">
          <a:avLst/>
        </a:prstGeom>
        <a:noFill/>
      </xdr:spPr>
      <xdr:txBody>
        <a:bodyPr wrap="none" lIns="91440" tIns="45720" rIns="91440" bIns="45720">
          <a:spAutoFit/>
        </a:bodyPr>
        <a:lstStyle/>
        <a:p>
          <a:pPr marL="0" indent="0" algn="ctr"/>
          <a:r>
            <a:rPr lang="en-US" sz="1600" b="1" i="0" u="none" strike="noStrike" cap="none" spc="0">
              <a:ln w="0"/>
              <a:solidFill>
                <a:schemeClr val="accent2">
                  <a:lumMod val="75000"/>
                </a:schemeClr>
              </a:solidFill>
              <a:effectLst/>
              <a:latin typeface="+mn-lt"/>
              <a:ea typeface="+mn-ea"/>
              <a:cs typeface="Calibri"/>
            </a:rPr>
            <a:t>Total Units Sold</a:t>
          </a:r>
        </a:p>
      </xdr:txBody>
    </xdr:sp>
    <xdr:clientData/>
  </xdr:oneCellAnchor>
  <xdr:oneCellAnchor>
    <xdr:from>
      <xdr:col>0</xdr:col>
      <xdr:colOff>363429</xdr:colOff>
      <xdr:row>9</xdr:row>
      <xdr:rowOff>76200</xdr:rowOff>
    </xdr:from>
    <xdr:ext cx="954300" cy="342786"/>
    <xdr:sp macro="" textlink="Summary!$A$8">
      <xdr:nvSpPr>
        <xdr:cNvPr id="24" name="Rectangle 23">
          <a:extLst>
            <a:ext uri="{FF2B5EF4-FFF2-40B4-BE49-F238E27FC236}">
              <a16:creationId xmlns:a16="http://schemas.microsoft.com/office/drawing/2014/main" id="{60B928C3-2D4C-4482-B500-851050D40524}"/>
            </a:ext>
          </a:extLst>
        </xdr:cNvPr>
        <xdr:cNvSpPr/>
      </xdr:nvSpPr>
      <xdr:spPr>
        <a:xfrm>
          <a:off x="363429" y="1790700"/>
          <a:ext cx="954300" cy="342786"/>
        </a:xfrm>
        <a:prstGeom prst="rect">
          <a:avLst/>
        </a:prstGeom>
        <a:noFill/>
      </xdr:spPr>
      <xdr:txBody>
        <a:bodyPr wrap="none" lIns="91440" tIns="45720" rIns="91440" bIns="45720">
          <a:spAutoFit/>
        </a:bodyPr>
        <a:lstStyle/>
        <a:p>
          <a:pPr marL="0" indent="0" algn="ctr"/>
          <a:fld id="{7CBD712E-8551-4007-9744-B78C3B90DCCF}" type="TxLink">
            <a:rPr lang="en-US" sz="1600" b="1" i="0" u="none" strike="noStrike" cap="none" spc="0">
              <a:ln w="0"/>
              <a:solidFill>
                <a:schemeClr val="accent2">
                  <a:lumMod val="75000"/>
                </a:schemeClr>
              </a:solidFill>
              <a:effectLst/>
              <a:latin typeface="+mn-lt"/>
              <a:ea typeface="+mn-ea"/>
              <a:cs typeface="Calibri"/>
            </a:rPr>
            <a:pPr marL="0" indent="0" algn="ctr"/>
            <a:t> 512,871 </a:t>
          </a:fld>
          <a:endParaRPr lang="en-US" sz="1600" b="1" i="0" u="none" strike="noStrike" cap="none" spc="0">
            <a:ln w="0"/>
            <a:solidFill>
              <a:schemeClr val="accent2">
                <a:lumMod val="75000"/>
              </a:schemeClr>
            </a:solidFill>
            <a:effectLst/>
            <a:latin typeface="+mn-lt"/>
            <a:ea typeface="+mn-ea"/>
            <a:cs typeface="Calibri"/>
          </a:endParaRPr>
        </a:p>
      </xdr:txBody>
    </xdr:sp>
    <xdr:clientData/>
  </xdr:oneCellAnchor>
  <xdr:twoCellAnchor>
    <xdr:from>
      <xdr:col>0</xdr:col>
      <xdr:colOff>114300</xdr:colOff>
      <xdr:row>11</xdr:row>
      <xdr:rowOff>85725</xdr:rowOff>
    </xdr:from>
    <xdr:to>
      <xdr:col>2</xdr:col>
      <xdr:colOff>419100</xdr:colOff>
      <xdr:row>15</xdr:row>
      <xdr:rowOff>95250</xdr:rowOff>
    </xdr:to>
    <xdr:sp macro="" textlink="">
      <xdr:nvSpPr>
        <xdr:cNvPr id="26" name="Rectangle 25">
          <a:extLst>
            <a:ext uri="{FF2B5EF4-FFF2-40B4-BE49-F238E27FC236}">
              <a16:creationId xmlns:a16="http://schemas.microsoft.com/office/drawing/2014/main" id="{F43F1D2A-84C6-4329-B12F-9F27CF5391B5}"/>
            </a:ext>
          </a:extLst>
        </xdr:cNvPr>
        <xdr:cNvSpPr/>
      </xdr:nvSpPr>
      <xdr:spPr>
        <a:xfrm>
          <a:off x="114300" y="2181225"/>
          <a:ext cx="1524000" cy="771525"/>
        </a:xfrm>
        <a:prstGeom prst="rect">
          <a:avLst/>
        </a:prstGeom>
        <a:noFill/>
        <a:ln w="19050">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13</xdr:row>
      <xdr:rowOff>90488</xdr:rowOff>
    </xdr:from>
    <xdr:to>
      <xdr:col>2</xdr:col>
      <xdr:colOff>419100</xdr:colOff>
      <xdr:row>13</xdr:row>
      <xdr:rowOff>90488</xdr:rowOff>
    </xdr:to>
    <xdr:cxnSp macro="">
      <xdr:nvCxnSpPr>
        <xdr:cNvPr id="28" name="Straight Connector 27">
          <a:extLst>
            <a:ext uri="{FF2B5EF4-FFF2-40B4-BE49-F238E27FC236}">
              <a16:creationId xmlns:a16="http://schemas.microsoft.com/office/drawing/2014/main" id="{18420E24-1727-4182-BAEF-2EE251491686}"/>
            </a:ext>
          </a:extLst>
        </xdr:cNvPr>
        <xdr:cNvCxnSpPr>
          <a:stCxn id="26" idx="1"/>
          <a:endCxn id="26" idx="3"/>
        </xdr:cNvCxnSpPr>
      </xdr:nvCxnSpPr>
      <xdr:spPr>
        <a:xfrm>
          <a:off x="114300" y="2566988"/>
          <a:ext cx="1524000" cy="0"/>
        </a:xfrm>
        <a:prstGeom prst="line">
          <a:avLst/>
        </a:prstGeom>
        <a:ln w="19050">
          <a:solidFill>
            <a:schemeClr val="accent2">
              <a:lumMod val="75000"/>
            </a:schemeClr>
          </a:solidFill>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0</xdr:col>
      <xdr:colOff>134907</xdr:colOff>
      <xdr:row>11</xdr:row>
      <xdr:rowOff>133350</xdr:rowOff>
    </xdr:from>
    <xdr:ext cx="1500540" cy="342786"/>
    <xdr:sp macro="" textlink="">
      <xdr:nvSpPr>
        <xdr:cNvPr id="31" name="Rectangle 30">
          <a:extLst>
            <a:ext uri="{FF2B5EF4-FFF2-40B4-BE49-F238E27FC236}">
              <a16:creationId xmlns:a16="http://schemas.microsoft.com/office/drawing/2014/main" id="{E56126C9-6E7A-4D0D-8554-959EEFCBA32D}"/>
            </a:ext>
          </a:extLst>
        </xdr:cNvPr>
        <xdr:cNvSpPr/>
      </xdr:nvSpPr>
      <xdr:spPr>
        <a:xfrm>
          <a:off x="134907" y="2228850"/>
          <a:ext cx="1500540" cy="342786"/>
        </a:xfrm>
        <a:prstGeom prst="rect">
          <a:avLst/>
        </a:prstGeom>
        <a:noFill/>
      </xdr:spPr>
      <xdr:txBody>
        <a:bodyPr wrap="none" lIns="91440" tIns="45720" rIns="91440" bIns="45720">
          <a:spAutoFit/>
        </a:bodyPr>
        <a:lstStyle/>
        <a:p>
          <a:pPr marL="0" indent="0" algn="ctr"/>
          <a:r>
            <a:rPr lang="en-US" sz="1600" b="1" i="0" u="none" strike="noStrike" cap="none" spc="0">
              <a:ln w="0"/>
              <a:solidFill>
                <a:schemeClr val="accent2">
                  <a:lumMod val="75000"/>
                </a:schemeClr>
              </a:solidFill>
              <a:effectLst/>
              <a:latin typeface="+mn-lt"/>
              <a:ea typeface="+mn-ea"/>
              <a:cs typeface="Calibri"/>
            </a:rPr>
            <a:t>Total Net Profit</a:t>
          </a:r>
        </a:p>
      </xdr:txBody>
    </xdr:sp>
    <xdr:clientData/>
  </xdr:oneCellAnchor>
  <xdr:oneCellAnchor>
    <xdr:from>
      <xdr:col>0</xdr:col>
      <xdr:colOff>252027</xdr:colOff>
      <xdr:row>13</xdr:row>
      <xdr:rowOff>142875</xdr:rowOff>
    </xdr:from>
    <xdr:ext cx="1215204" cy="342786"/>
    <xdr:sp macro="" textlink="Summary!$A$12">
      <xdr:nvSpPr>
        <xdr:cNvPr id="32" name="Rectangle 31">
          <a:extLst>
            <a:ext uri="{FF2B5EF4-FFF2-40B4-BE49-F238E27FC236}">
              <a16:creationId xmlns:a16="http://schemas.microsoft.com/office/drawing/2014/main" id="{E6AF8CD3-8AC3-4004-A997-CE2110CC56B7}"/>
            </a:ext>
          </a:extLst>
        </xdr:cNvPr>
        <xdr:cNvSpPr/>
      </xdr:nvSpPr>
      <xdr:spPr>
        <a:xfrm>
          <a:off x="252027" y="2619375"/>
          <a:ext cx="1215204" cy="342786"/>
        </a:xfrm>
        <a:prstGeom prst="rect">
          <a:avLst/>
        </a:prstGeom>
        <a:noFill/>
      </xdr:spPr>
      <xdr:txBody>
        <a:bodyPr wrap="none" lIns="91440" tIns="45720" rIns="91440" bIns="45720">
          <a:spAutoFit/>
        </a:bodyPr>
        <a:lstStyle/>
        <a:p>
          <a:pPr marL="0" indent="0" algn="ctr"/>
          <a:fld id="{634C5D31-06AA-446D-B23E-0CDF27109196}" type="TxLink">
            <a:rPr lang="en-US" sz="1600" b="1" i="0" u="none" strike="noStrike" cap="none" spc="0">
              <a:ln w="0"/>
              <a:solidFill>
                <a:schemeClr val="accent2">
                  <a:lumMod val="75000"/>
                </a:schemeClr>
              </a:solidFill>
              <a:effectLst/>
              <a:latin typeface="+mn-lt"/>
              <a:ea typeface="+mn-ea"/>
              <a:cs typeface="Calibri"/>
            </a:rPr>
            <a:pPr marL="0" indent="0" algn="ctr"/>
            <a:t> 41,862,470 </a:t>
          </a:fld>
          <a:endParaRPr lang="en-US" sz="1600" b="1" i="0" u="none" strike="noStrike" cap="none" spc="0">
            <a:ln w="0"/>
            <a:solidFill>
              <a:schemeClr val="accent2">
                <a:lumMod val="75000"/>
              </a:schemeClr>
            </a:solidFill>
            <a:effectLst/>
            <a:latin typeface="+mn-lt"/>
            <a:ea typeface="+mn-ea"/>
            <a:cs typeface="Calibri"/>
          </a:endParaRPr>
        </a:p>
      </xdr:txBody>
    </xdr:sp>
    <xdr:clientData/>
  </xdr:oneCellAnchor>
  <xdr:twoCellAnchor>
    <xdr:from>
      <xdr:col>0</xdr:col>
      <xdr:colOff>114300</xdr:colOff>
      <xdr:row>15</xdr:row>
      <xdr:rowOff>142876</xdr:rowOff>
    </xdr:from>
    <xdr:to>
      <xdr:col>2</xdr:col>
      <xdr:colOff>419100</xdr:colOff>
      <xdr:row>19</xdr:row>
      <xdr:rowOff>180976</xdr:rowOff>
    </xdr:to>
    <xdr:sp macro="" textlink="">
      <xdr:nvSpPr>
        <xdr:cNvPr id="33" name="Rectangle 32">
          <a:extLst>
            <a:ext uri="{FF2B5EF4-FFF2-40B4-BE49-F238E27FC236}">
              <a16:creationId xmlns:a16="http://schemas.microsoft.com/office/drawing/2014/main" id="{C436764B-1FEE-4CB5-A32D-62BC60215E88}"/>
            </a:ext>
          </a:extLst>
        </xdr:cNvPr>
        <xdr:cNvSpPr/>
      </xdr:nvSpPr>
      <xdr:spPr>
        <a:xfrm>
          <a:off x="114300" y="3000376"/>
          <a:ext cx="1524000" cy="800100"/>
        </a:xfrm>
        <a:prstGeom prst="rect">
          <a:avLst/>
        </a:prstGeom>
        <a:noFill/>
        <a:ln w="19050">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17</xdr:row>
      <xdr:rowOff>161926</xdr:rowOff>
    </xdr:from>
    <xdr:to>
      <xdr:col>2</xdr:col>
      <xdr:colOff>419100</xdr:colOff>
      <xdr:row>17</xdr:row>
      <xdr:rowOff>161926</xdr:rowOff>
    </xdr:to>
    <xdr:cxnSp macro="">
      <xdr:nvCxnSpPr>
        <xdr:cNvPr id="37" name="Straight Connector 36">
          <a:extLst>
            <a:ext uri="{FF2B5EF4-FFF2-40B4-BE49-F238E27FC236}">
              <a16:creationId xmlns:a16="http://schemas.microsoft.com/office/drawing/2014/main" id="{D0ACB2CB-18C1-4739-9A3F-8EBCC77A8511}"/>
            </a:ext>
          </a:extLst>
        </xdr:cNvPr>
        <xdr:cNvCxnSpPr>
          <a:stCxn id="33" idx="1"/>
          <a:endCxn id="33" idx="3"/>
        </xdr:cNvCxnSpPr>
      </xdr:nvCxnSpPr>
      <xdr:spPr>
        <a:xfrm>
          <a:off x="114300" y="3400426"/>
          <a:ext cx="1524000" cy="0"/>
        </a:xfrm>
        <a:prstGeom prst="line">
          <a:avLst/>
        </a:prstGeom>
        <a:ln w="19050">
          <a:solidFill>
            <a:schemeClr val="accent2">
              <a:lumMod val="75000"/>
            </a:schemeClr>
          </a:solidFill>
        </a:ln>
      </xdr:spPr>
      <xdr:style>
        <a:lnRef idx="1">
          <a:schemeClr val="accent2"/>
        </a:lnRef>
        <a:fillRef idx="0">
          <a:schemeClr val="accent2"/>
        </a:fillRef>
        <a:effectRef idx="0">
          <a:schemeClr val="accent2"/>
        </a:effectRef>
        <a:fontRef idx="minor">
          <a:schemeClr val="tx1"/>
        </a:fontRef>
      </xdr:style>
    </xdr:cxnSp>
    <xdr:clientData/>
  </xdr:twoCellAnchor>
  <xdr:oneCellAnchor>
    <xdr:from>
      <xdr:col>0</xdr:col>
      <xdr:colOff>42412</xdr:colOff>
      <xdr:row>15</xdr:row>
      <xdr:rowOff>180975</xdr:rowOff>
    </xdr:from>
    <xdr:ext cx="1666483" cy="327141"/>
    <xdr:sp macro="" textlink="">
      <xdr:nvSpPr>
        <xdr:cNvPr id="39" name="Rectangle 38">
          <a:extLst>
            <a:ext uri="{FF2B5EF4-FFF2-40B4-BE49-F238E27FC236}">
              <a16:creationId xmlns:a16="http://schemas.microsoft.com/office/drawing/2014/main" id="{22814E26-6A6C-4473-A5EB-D63F00A2119E}"/>
            </a:ext>
          </a:extLst>
        </xdr:cNvPr>
        <xdr:cNvSpPr/>
      </xdr:nvSpPr>
      <xdr:spPr>
        <a:xfrm>
          <a:off x="42412" y="3038475"/>
          <a:ext cx="1666483" cy="327141"/>
        </a:xfrm>
        <a:prstGeom prst="rect">
          <a:avLst/>
        </a:prstGeom>
        <a:noFill/>
      </xdr:spPr>
      <xdr:txBody>
        <a:bodyPr wrap="none" lIns="91440" tIns="45720" rIns="91440" bIns="45720">
          <a:spAutoFit/>
        </a:bodyPr>
        <a:lstStyle/>
        <a:p>
          <a:pPr marL="0" indent="0" algn="ctr"/>
          <a:r>
            <a:rPr lang="en-US" sz="1500" b="1" i="0" u="none" strike="noStrike" cap="none" spc="0">
              <a:ln w="0"/>
              <a:solidFill>
                <a:schemeClr val="accent2">
                  <a:lumMod val="75000"/>
                </a:schemeClr>
              </a:solidFill>
              <a:effectLst/>
              <a:latin typeface="+mn-lt"/>
              <a:ea typeface="+mn-ea"/>
              <a:cs typeface="Calibri"/>
            </a:rPr>
            <a:t>Average Net Profit</a:t>
          </a:r>
        </a:p>
      </xdr:txBody>
    </xdr:sp>
    <xdr:clientData/>
  </xdr:oneCellAnchor>
  <xdr:oneCellAnchor>
    <xdr:from>
      <xdr:col>0</xdr:col>
      <xdr:colOff>392004</xdr:colOff>
      <xdr:row>17</xdr:row>
      <xdr:rowOff>171450</xdr:rowOff>
    </xdr:from>
    <xdr:ext cx="954300" cy="342786"/>
    <xdr:sp macro="" textlink="Summary!$A$16">
      <xdr:nvSpPr>
        <xdr:cNvPr id="40" name="Rectangle 39">
          <a:extLst>
            <a:ext uri="{FF2B5EF4-FFF2-40B4-BE49-F238E27FC236}">
              <a16:creationId xmlns:a16="http://schemas.microsoft.com/office/drawing/2014/main" id="{F2D6E00C-E39C-4FED-89C6-9CA694B61259}"/>
            </a:ext>
          </a:extLst>
        </xdr:cNvPr>
        <xdr:cNvSpPr/>
      </xdr:nvSpPr>
      <xdr:spPr>
        <a:xfrm>
          <a:off x="392004" y="3409950"/>
          <a:ext cx="954300" cy="342786"/>
        </a:xfrm>
        <a:prstGeom prst="rect">
          <a:avLst/>
        </a:prstGeom>
        <a:noFill/>
      </xdr:spPr>
      <xdr:txBody>
        <a:bodyPr wrap="none" lIns="91440" tIns="45720" rIns="91440" bIns="45720">
          <a:spAutoFit/>
        </a:bodyPr>
        <a:lstStyle/>
        <a:p>
          <a:pPr marL="0" indent="0" algn="ctr"/>
          <a:fld id="{77C8CBA2-9B46-4D44-9F81-C4D8F81C56C2}" type="TxLink">
            <a:rPr lang="en-US" sz="1600" b="1" i="0" u="none" strike="noStrike" cap="none" spc="0">
              <a:ln w="0"/>
              <a:solidFill>
                <a:schemeClr val="accent2">
                  <a:lumMod val="75000"/>
                </a:schemeClr>
              </a:solidFill>
              <a:effectLst/>
              <a:latin typeface="+mn-lt"/>
              <a:ea typeface="+mn-ea"/>
              <a:cs typeface="Calibri"/>
            </a:rPr>
            <a:pPr marL="0" indent="0" algn="ctr"/>
            <a:t> 418,625 </a:t>
          </a:fld>
          <a:endParaRPr lang="en-US" sz="1600" b="1" i="0" u="none" strike="noStrike" cap="none" spc="0">
            <a:ln w="0"/>
            <a:solidFill>
              <a:schemeClr val="accent2">
                <a:lumMod val="75000"/>
              </a:schemeClr>
            </a:solidFill>
            <a:effectLst/>
            <a:latin typeface="+mn-lt"/>
            <a:ea typeface="+mn-ea"/>
            <a:cs typeface="Calibri"/>
          </a:endParaRPr>
        </a:p>
      </xdr:txBody>
    </xdr:sp>
    <xdr:clientData/>
  </xdr:oneCellAnchor>
  <xdr:twoCellAnchor>
    <xdr:from>
      <xdr:col>13</xdr:col>
      <xdr:colOff>400050</xdr:colOff>
      <xdr:row>2</xdr:row>
      <xdr:rowOff>104775</xdr:rowOff>
    </xdr:from>
    <xdr:to>
      <xdr:col>20</xdr:col>
      <xdr:colOff>285750</xdr:colOff>
      <xdr:row>12</xdr:row>
      <xdr:rowOff>28575</xdr:rowOff>
    </xdr:to>
    <xdr:graphicFrame macro="">
      <xdr:nvGraphicFramePr>
        <xdr:cNvPr id="41" name="Chart 40">
          <a:extLst>
            <a:ext uri="{FF2B5EF4-FFF2-40B4-BE49-F238E27FC236}">
              <a16:creationId xmlns:a16="http://schemas.microsoft.com/office/drawing/2014/main" id="{B0F54E16-1E81-40E0-BF0E-B15445A82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504825</xdr:colOff>
      <xdr:row>11</xdr:row>
      <xdr:rowOff>28575</xdr:rowOff>
    </xdr:from>
    <xdr:to>
      <xdr:col>7</xdr:col>
      <xdr:colOff>180975</xdr:colOff>
      <xdr:row>21</xdr:row>
      <xdr:rowOff>19050</xdr:rowOff>
    </xdr:to>
    <xdr:graphicFrame macro="">
      <xdr:nvGraphicFramePr>
        <xdr:cNvPr id="42" name="Chart 41">
          <a:extLst>
            <a:ext uri="{FF2B5EF4-FFF2-40B4-BE49-F238E27FC236}">
              <a16:creationId xmlns:a16="http://schemas.microsoft.com/office/drawing/2014/main" id="{6DA554C7-F144-4324-B28E-103A320EBE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6</xdr:col>
      <xdr:colOff>476028</xdr:colOff>
      <xdr:row>0</xdr:row>
      <xdr:rowOff>12198</xdr:rowOff>
    </xdr:from>
    <xdr:ext cx="2877006" cy="405432"/>
    <xdr:sp macro="" textlink="">
      <xdr:nvSpPr>
        <xdr:cNvPr id="44" name="Rectangle 43">
          <a:extLst>
            <a:ext uri="{FF2B5EF4-FFF2-40B4-BE49-F238E27FC236}">
              <a16:creationId xmlns:a16="http://schemas.microsoft.com/office/drawing/2014/main" id="{CBB2C0C3-0757-4F53-9663-AD80752CCEB9}"/>
            </a:ext>
          </a:extLst>
        </xdr:cNvPr>
        <xdr:cNvSpPr/>
      </xdr:nvSpPr>
      <xdr:spPr>
        <a:xfrm>
          <a:off x="4133628" y="12198"/>
          <a:ext cx="2877006"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HYBRID STORES ANALYSIS</a:t>
          </a:r>
        </a:p>
      </xdr:txBody>
    </xdr:sp>
    <xdr:clientData/>
  </xdr:oneCellAnchor>
  <xdr:twoCellAnchor editAs="oneCell">
    <xdr:from>
      <xdr:col>13</xdr:col>
      <xdr:colOff>419099</xdr:colOff>
      <xdr:row>12</xdr:row>
      <xdr:rowOff>85724</xdr:rowOff>
    </xdr:from>
    <xdr:to>
      <xdr:col>17</xdr:col>
      <xdr:colOff>66674</xdr:colOff>
      <xdr:row>20</xdr:row>
      <xdr:rowOff>171449</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115C5DC-F147-4456-A7D6-282CAEFB9C5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343899" y="2371724"/>
              <a:ext cx="2085975"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123825</xdr:colOff>
      <xdr:row>12</xdr:row>
      <xdr:rowOff>76201</xdr:rowOff>
    </xdr:from>
    <xdr:to>
      <xdr:col>20</xdr:col>
      <xdr:colOff>276225</xdr:colOff>
      <xdr:row>20</xdr:row>
      <xdr:rowOff>171451</xdr:rowOff>
    </xdr:to>
    <mc:AlternateContent xmlns:mc="http://schemas.openxmlformats.org/markup-compatibility/2006">
      <mc:Choice xmlns:a14="http://schemas.microsoft.com/office/drawing/2010/main" Requires="a14">
        <xdr:graphicFrame macro="">
          <xdr:nvGraphicFramePr>
            <xdr:cNvPr id="7" name="Country">
              <a:extLst>
                <a:ext uri="{FF2B5EF4-FFF2-40B4-BE49-F238E27FC236}">
                  <a16:creationId xmlns:a16="http://schemas.microsoft.com/office/drawing/2014/main" id="{B70E5066-A8F5-468F-B25F-4106FC50DFA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487025" y="2362201"/>
              <a:ext cx="1981200"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PC" refreshedDate="45957.401131018516" createdVersion="6" refreshedVersion="6" minRefreshableVersion="3" recordCount="100" xr:uid="{21195565-4E49-462A-8730-E41D5AE5A880}">
  <cacheSource type="worksheet">
    <worksheetSource ref="A1:Q101" sheet="Sheet1"/>
  </cacheSource>
  <cacheFields count="19">
    <cacheField name="Region" numFmtId="0">
      <sharedItems count="7">
        <s v="Australia and Oceania"/>
        <s v="Central America and the Caribbean"/>
        <s v="Europe"/>
        <s v="Sub-Saharan Africa"/>
        <s v="Asia"/>
        <s v="Middle East and North Africa"/>
        <s v="North America"/>
      </sharedItems>
    </cacheField>
    <cacheField name="Country" numFmtId="0">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0">
      <sharedItems count="12">
        <s v="Baby Food"/>
        <s v="Cereal"/>
        <s v="Office Supplies"/>
        <s v="Fruits"/>
        <s v="Household"/>
        <s v="Vegetables"/>
        <s v="Personal Care"/>
        <s v="Clothes"/>
        <s v="Cosmetics"/>
        <s v="Beverages"/>
        <s v="Meat"/>
        <s v="Snacks"/>
      </sharedItems>
    </cacheField>
    <cacheField name="Sales Channel" numFmtId="0">
      <sharedItems count="2">
        <s v="Offline"/>
        <s v="Online"/>
      </sharedItems>
    </cacheField>
    <cacheField name="Order Priority" numFmtId="0">
      <sharedItems count="4">
        <s v="H"/>
        <s v="C"/>
        <s v="L"/>
        <s v="M"/>
      </sharedItems>
    </cacheField>
    <cacheField name="Order Date" numFmtId="14">
      <sharedItems containsSemiMixedTypes="0" containsNonDate="0" containsDate="1" containsString="0" minDate="2010-02-02T00:00:00" maxDate="2017-05-23T00:00:00" count="100">
        <d v="2010-05-28T00:00:00"/>
        <d v="2012-08-22T00:00:00"/>
        <d v="2014-05-02T00:00:00"/>
        <d v="2014-06-20T00:00:00"/>
        <d v="2013-02-01T00:00:00"/>
        <d v="2015-02-04T00:00:00"/>
        <d v="2011-04-23T00:00:00"/>
        <d v="2012-07-17T00:00:00"/>
        <d v="2015-07-14T00:00:00"/>
        <d v="2014-04-18T00:00:00"/>
        <d v="2011-06-24T00:00:00"/>
        <d v="2014-08-02T00:00:00"/>
        <d v="2017-01-13T00:00:00"/>
        <d v="2017-02-08T00:00:00"/>
        <d v="2014-02-19T00:00:00"/>
        <d v="2012-04-23T00:00:00"/>
        <d v="2016-11-19T00:00:00"/>
        <d v="2015-04-01T00:00:00"/>
        <d v="2010-12-30T00:00:00"/>
        <d v="2012-07-31T00:00:00"/>
        <d v="2014-05-14T00:00:00"/>
        <d v="2015-07-31T00:00:00"/>
        <d v="2016-06-30T00:00:00"/>
        <d v="2014-09-08T00:00:00"/>
        <d v="2016-05-07T00:00:00"/>
        <d v="2017-05-22T00:00:00"/>
        <d v="2014-10-13T00:00:00"/>
        <d v="2010-05-07T00:00:00"/>
        <d v="2014-07-18T00:00:00"/>
        <d v="2012-05-26T00:00:00"/>
        <d v="2012-09-17T00:00:00"/>
        <d v="2013-12-29T00:00:00"/>
        <d v="2015-10-27T00:00:00"/>
        <d v="2015-01-16T00:00:00"/>
        <d v="2017-02-25T00:00:00"/>
        <d v="2017-05-08T00:00:00"/>
        <d v="2011-11-22T00:00:00"/>
        <d v="2017-01-14T00:00:00"/>
        <d v="2012-04-01T00:00:00"/>
        <d v="2012-02-16T00:00:00"/>
        <d v="2017-03-11T00:00:00"/>
        <d v="2010-02-06T00:00:00"/>
        <d v="2012-06-07T00:00:00"/>
        <d v="2012-10-06T00:00:00"/>
        <d v="2015-11-14T00:00:00"/>
        <d v="2016-03-29T00:00:00"/>
        <d v="2016-12-31T00:00:00"/>
        <d v="2010-12-23T00:00:00"/>
        <d v="2014-10-14T00:00:00"/>
        <d v="2012-01-11T00:00:00"/>
        <d v="2010-02-02T00:00:00"/>
        <d v="2013-08-18T00:00:00"/>
        <d v="2013-03-25T00:00:00"/>
        <d v="2011-11-26T00:00:00"/>
        <d v="2013-09-17T00:00:00"/>
        <d v="2012-06-08T00:00:00"/>
        <d v="2010-06-30T00:00:00"/>
        <d v="2015-02-23T00:00:00"/>
        <d v="2012-01-05T00:00:00"/>
        <d v="2014-04-07T00:00:00"/>
        <d v="2013-06-09T00:00:00"/>
        <d v="2013-06-26T00:00:00"/>
        <d v="2011-11-07T00:00:00"/>
        <d v="2010-10-30T00:00:00"/>
        <d v="2013-10-13T00:00:00"/>
        <d v="2013-10-11T00:00:00"/>
        <d v="2012-07-08T00:00:00"/>
        <d v="2016-07-25T00:00:00"/>
        <d v="2010-10-24T00:00:00"/>
        <d v="2015-04-25T00:00:00"/>
        <d v="2013-04-23T00:00:00"/>
        <d v="2015-08-14T00:00:00"/>
        <d v="2011-05-26T00:00:00"/>
        <d v="2017-05-20T00:00:00"/>
        <d v="2013-07-05T00:00:00"/>
        <d v="2014-11-06T00:00:00"/>
        <d v="2014-10-28T00:00:00"/>
        <d v="2011-09-15T00:00:00"/>
        <d v="2012-05-29T00:00:00"/>
        <d v="2013-07-20T00:00:00"/>
        <d v="2012-10-21T00:00:00"/>
        <d v="2012-09-18T00:00:00"/>
        <d v="2016-11-15T00:00:00"/>
        <d v="2011-01-04T00:00:00"/>
        <d v="2012-03-18T00:00:00"/>
        <d v="2012-02-17T00:00:00"/>
        <d v="2011-01-16T00:00:00"/>
        <d v="2014-02-03T00:00:00"/>
        <d v="2012-04-30T00:00:00"/>
        <d v="2016-10-23T00:00:00"/>
        <d v="2016-12-06T00:00:00"/>
        <d v="2014-07-07T00:00:00"/>
        <d v="2012-06-13T00:00:00"/>
        <d v="2010-11-26T00:00:00"/>
        <d v="2011-02-08T00:00:00"/>
        <d v="2011-07-26T00:00:00"/>
        <d v="2011-11-11T00:00:00"/>
        <d v="2016-06-01T00:00:00"/>
        <d v="2015-07-30T00:00:00"/>
        <d v="2012-02-10T00:00:00"/>
      </sharedItems>
      <fieldGroup par="18" base="5">
        <rangePr groupBy="months" startDate="2010-02-02T00:00:00" endDate="2017-05-23T00:00:00"/>
        <groupItems count="14">
          <s v="&lt;2/2/2010"/>
          <s v="Jan"/>
          <s v="Feb"/>
          <s v="Mar"/>
          <s v="Apr"/>
          <s v="May"/>
          <s v="Jun"/>
          <s v="Jul"/>
          <s v="Aug"/>
          <s v="Sep"/>
          <s v="Oct"/>
          <s v="Nov"/>
          <s v="Dec"/>
          <s v="&gt;5/23/2017"/>
        </groupItems>
      </fieldGroup>
    </cacheField>
    <cacheField name="Order ID" numFmtId="0">
      <sharedItems containsSemiMixedTypes="0" containsString="0" containsNumber="1" containsInteger="1" minValue="114606559" maxValue="994022214"/>
    </cacheField>
    <cacheField name="Ship Date" numFmtId="14">
      <sharedItems containsSemiMixedTypes="0" containsNonDate="0" containsDate="1" containsString="0" minDate="2010-01-08T00:00:00" maxDate="2017-06-18T00:00:00"/>
    </cacheField>
    <cacheField name="Units Sold" numFmtId="164">
      <sharedItems containsSemiMixedTypes="0" containsString="0" containsNumber="1" containsInteger="1" minValue="124" maxValue="9925"/>
    </cacheField>
    <cacheField name="Unit Price" numFmtId="164">
      <sharedItems containsSemiMixedTypes="0" containsString="0" containsNumber="1" containsInteger="1" minValue="9" maxValue="668"/>
    </cacheField>
    <cacheField name="Unit Cost" numFmtId="164">
      <sharedItems containsSemiMixedTypes="0" containsString="0" containsNumber="1" containsInteger="1" minValue="7" maxValue="525"/>
    </cacheField>
    <cacheField name="Total Revenue" numFmtId="0">
      <sharedItems containsSemiMixedTypes="0" containsString="0" containsNumber="1" containsInteger="1" minValue="4698" maxValue="5994632"/>
    </cacheField>
    <cacheField name="Total Cost" numFmtId="0">
      <sharedItems containsSemiMixedTypes="0" containsString="0" containsNumber="1" containsInteger="1" minValue="3654" maxValue="4513922"/>
    </cacheField>
    <cacheField name="Gross Profit" numFmtId="0">
      <sharedItems containsSemiMixedTypes="0" containsString="0" containsNumber="1" containsInteger="1" minValue="1044" maxValue="1721208"/>
    </cacheField>
    <cacheField name="Tax" numFmtId="1">
      <sharedItems containsSemiMixedTypes="0" containsString="0" containsNumber="1" minValue="52.2" maxValue="86060.400000000009"/>
    </cacheField>
    <cacheField name="Net Profit" numFmtId="1">
      <sharedItems containsSemiMixedTypes="0" containsString="0" containsNumber="1" minValue="991.8" maxValue="1635147.6" count="100">
        <n v="905160"/>
        <n v="237078.2"/>
        <n v="212946.3"/>
        <n v="15393.8"/>
        <n v="605921.4"/>
        <n v="271228.79999999999"/>
        <n v="656312.25"/>
        <n v="483707.7"/>
        <n v="144162.5"/>
        <n v="557438.15"/>
        <n v="7421.4"/>
        <n v="289050.8"/>
        <n v="573039.05000000005"/>
        <n v="1406674.5"/>
        <n v="116398.75"/>
        <n v="116022.55"/>
        <n v="1149165.6000000001"/>
        <n v="77377.5"/>
        <n v="600352.5"/>
        <n v="319918.2"/>
        <n v="679440"/>
        <n v="116097.60000000001"/>
        <n v="118370"/>
        <n v="4155.3"/>
        <n v="120412.5"/>
        <n v="300019.5"/>
        <n v="10256.200000000001"/>
        <n v="11061.8"/>
        <n v="73017"/>
        <n v="371497.5"/>
        <n v="1431663.3"/>
        <n v="50468.75"/>
        <n v="350002.8"/>
        <n v="1293187.5"/>
        <n v="389796.4"/>
        <n v="152213.75"/>
        <n v="7189.6"/>
        <n v="258133.05"/>
        <n v="802947.6"/>
        <n v="477243.9"/>
        <n v="71606.25"/>
        <n v="1195780.2"/>
        <n v="178992.35"/>
        <n v="10234.35"/>
        <n v="411245.5"/>
        <n v="81337.100000000006"/>
        <n v="1465715.1"/>
        <n v="6483.75"/>
        <n v="543842.69999999995"/>
        <n v="151540.20000000001"/>
        <n v="157355.15"/>
        <n v="18251.400000000001"/>
        <n v="343526.65"/>
        <n v="413802.9"/>
        <n v="14510.3"/>
        <n v="241476.7"/>
        <n v="686911.75"/>
        <n v="470609.1"/>
        <n v="44203.5"/>
        <n v="1192639.5"/>
        <n v="57663.1"/>
        <n v="433200"/>
        <n v="660504.6"/>
        <n v="424144.6"/>
        <n v="281836.5"/>
        <n v="740048.1"/>
        <n v="205580"/>
        <n v="381286.3"/>
        <n v="991953.9"/>
        <n v="509167.7"/>
        <n v="599697"/>
        <n v="1278.7"/>
        <n v="81809.25"/>
        <n v="731864.8"/>
        <n v="1635147.6"/>
        <n v="1090039.5"/>
        <n v="133650.75"/>
        <n v="223360.2"/>
        <n v="785596.8"/>
        <n v="1595806.2"/>
        <n v="707412.75"/>
        <n v="546755.4"/>
        <n v="1072631.7"/>
        <n v="217322"/>
        <n v="386451.45"/>
        <n v="152522.5"/>
        <n v="125813.25"/>
        <n v="506980.8"/>
        <n v="991.8"/>
        <n v="66405"/>
        <n v="113475.6"/>
        <n v="133793.25"/>
        <n v="241913.7"/>
        <n v="1307523"/>
        <n v="116223"/>
        <n v="61582.8"/>
        <n v="11907.3"/>
        <n v="88877.25"/>
        <n v="136966.25"/>
        <n v="841277.25"/>
      </sharedItems>
    </cacheField>
    <cacheField name="Average Net Profit" numFmtId="0">
      <sharedItems containsString="0" containsBlank="1" containsNumber="1" minValue="418624.70100000012" maxValue="418624.70100000012"/>
    </cacheField>
    <cacheField name="Quarters" numFmtId="0" databaseField="0">
      <fieldGroup base="5">
        <rangePr groupBy="quarters" startDate="2010-02-02T00:00:00" endDate="2017-05-23T00:00:00"/>
        <groupItems count="6">
          <s v="&lt;2/2/2010"/>
          <s v="Qtr1"/>
          <s v="Qtr2"/>
          <s v="Qtr3"/>
          <s v="Qtr4"/>
          <s v="&gt;5/23/2017"/>
        </groupItems>
      </fieldGroup>
    </cacheField>
    <cacheField name="Years" numFmtId="0" databaseField="0">
      <fieldGroup base="5">
        <rangePr groupBy="years" startDate="2010-02-02T00:00:00" endDate="2017-05-23T00:00:00"/>
        <groupItems count="10">
          <s v="&lt;2/2/2010"/>
          <s v="2010"/>
          <s v="2011"/>
          <s v="2012"/>
          <s v="2013"/>
          <s v="2014"/>
          <s v="2015"/>
          <s v="2016"/>
          <s v="2017"/>
          <s v="&gt;5/23/2017"/>
        </groupItems>
      </fieldGroup>
    </cacheField>
  </cacheFields>
  <extLst>
    <ext xmlns:x14="http://schemas.microsoft.com/office/spreadsheetml/2009/9/main" uri="{725AE2AE-9491-48be-B2B4-4EB974FC3084}">
      <x14:pivotCacheDefinition pivotCacheId="1275967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n v="669165933"/>
    <d v="2010-06-27T00:00:00"/>
    <n v="9925"/>
    <n v="255"/>
    <n v="159"/>
    <n v="2530875"/>
    <n v="1578075"/>
    <n v="952800"/>
    <n v="47640"/>
    <x v="0"/>
    <n v="418624.70100000012"/>
  </r>
  <r>
    <x v="1"/>
    <x v="1"/>
    <x v="1"/>
    <x v="1"/>
    <x v="1"/>
    <x v="1"/>
    <n v="963881480"/>
    <d v="2012-09-15T00:00:00"/>
    <n v="2804"/>
    <n v="206"/>
    <n v="117"/>
    <n v="577624"/>
    <n v="328068"/>
    <n v="249556"/>
    <n v="12477.800000000001"/>
    <x v="1"/>
    <m/>
  </r>
  <r>
    <x v="2"/>
    <x v="2"/>
    <x v="2"/>
    <x v="0"/>
    <x v="2"/>
    <x v="2"/>
    <n v="341417157"/>
    <d v="2014-08-05T00:00:00"/>
    <n v="1779"/>
    <n v="651"/>
    <n v="525"/>
    <n v="1158129"/>
    <n v="933975"/>
    <n v="224154"/>
    <n v="11207.7"/>
    <x v="2"/>
    <m/>
  </r>
  <r>
    <x v="3"/>
    <x v="3"/>
    <x v="3"/>
    <x v="1"/>
    <x v="1"/>
    <x v="3"/>
    <n v="514321792"/>
    <d v="2014-05-07T00:00:00"/>
    <n v="8102"/>
    <n v="9"/>
    <n v="7"/>
    <n v="72918"/>
    <n v="56714"/>
    <n v="16204"/>
    <n v="810.2"/>
    <x v="3"/>
    <m/>
  </r>
  <r>
    <x v="3"/>
    <x v="4"/>
    <x v="2"/>
    <x v="0"/>
    <x v="2"/>
    <x v="4"/>
    <n v="115456712"/>
    <d v="2013-06-02T00:00:00"/>
    <n v="5062"/>
    <n v="651"/>
    <n v="525"/>
    <n v="3295362"/>
    <n v="2657550"/>
    <n v="637812"/>
    <n v="31890.600000000002"/>
    <x v="4"/>
    <m/>
  </r>
  <r>
    <x v="0"/>
    <x v="5"/>
    <x v="0"/>
    <x v="1"/>
    <x v="1"/>
    <x v="5"/>
    <n v="547995746"/>
    <d v="2015-02-21T00:00:00"/>
    <n v="2974"/>
    <n v="255"/>
    <n v="159"/>
    <n v="758370"/>
    <n v="472866"/>
    <n v="285504"/>
    <n v="14275.2"/>
    <x v="5"/>
    <m/>
  </r>
  <r>
    <x v="3"/>
    <x v="6"/>
    <x v="4"/>
    <x v="0"/>
    <x v="3"/>
    <x v="6"/>
    <n v="135425221"/>
    <d v="2011-04-27T00:00:00"/>
    <n v="4187"/>
    <n v="668"/>
    <n v="503"/>
    <n v="2796916"/>
    <n v="2106061"/>
    <n v="690855"/>
    <n v="34542.75"/>
    <x v="6"/>
    <m/>
  </r>
  <r>
    <x v="3"/>
    <x v="7"/>
    <x v="5"/>
    <x v="1"/>
    <x v="0"/>
    <x v="7"/>
    <n v="871543967"/>
    <d v="2012-07-27T00:00:00"/>
    <n v="8082"/>
    <n v="154"/>
    <n v="91"/>
    <n v="1244628"/>
    <n v="735462"/>
    <n v="509166"/>
    <n v="25458.300000000003"/>
    <x v="7"/>
    <m/>
  </r>
  <r>
    <x v="3"/>
    <x v="8"/>
    <x v="6"/>
    <x v="0"/>
    <x v="3"/>
    <x v="8"/>
    <n v="770463311"/>
    <d v="2015-08-25T00:00:00"/>
    <n v="6070"/>
    <n v="82"/>
    <n v="57"/>
    <n v="497740"/>
    <n v="345990"/>
    <n v="151750"/>
    <n v="7587.5"/>
    <x v="8"/>
    <m/>
  </r>
  <r>
    <x v="3"/>
    <x v="9"/>
    <x v="1"/>
    <x v="1"/>
    <x v="0"/>
    <x v="9"/>
    <n v="616607081"/>
    <d v="2014-05-30T00:00:00"/>
    <n v="6593"/>
    <n v="206"/>
    <n v="117"/>
    <n v="1358158"/>
    <n v="771381"/>
    <n v="586777"/>
    <n v="29338.850000000002"/>
    <x v="9"/>
    <m/>
  </r>
  <r>
    <x v="4"/>
    <x v="10"/>
    <x v="5"/>
    <x v="1"/>
    <x v="0"/>
    <x v="10"/>
    <n v="814711606"/>
    <d v="2011-12-07T00:00:00"/>
    <n v="124"/>
    <n v="154"/>
    <n v="91"/>
    <n v="19096"/>
    <n v="11284"/>
    <n v="7812"/>
    <n v="390.6"/>
    <x v="10"/>
    <m/>
  </r>
  <r>
    <x v="3"/>
    <x v="11"/>
    <x v="7"/>
    <x v="0"/>
    <x v="0"/>
    <x v="11"/>
    <n v="939825713"/>
    <d v="2014-08-19T00:00:00"/>
    <n v="4168"/>
    <n v="109"/>
    <n v="36"/>
    <n v="454312"/>
    <n v="150048"/>
    <n v="304264"/>
    <n v="15213.2"/>
    <x v="11"/>
    <m/>
  </r>
  <r>
    <x v="4"/>
    <x v="12"/>
    <x v="7"/>
    <x v="1"/>
    <x v="2"/>
    <x v="12"/>
    <n v="187310731"/>
    <d v="2017-01-03T00:00:00"/>
    <n v="8263"/>
    <n v="109"/>
    <n v="36"/>
    <n v="900667"/>
    <n v="297468"/>
    <n v="603199"/>
    <n v="30159.95"/>
    <x v="12"/>
    <m/>
  </r>
  <r>
    <x v="1"/>
    <x v="13"/>
    <x v="4"/>
    <x v="0"/>
    <x v="0"/>
    <x v="13"/>
    <n v="522840487"/>
    <d v="2017-02-13T00:00:00"/>
    <n v="8974"/>
    <n v="668"/>
    <n v="503"/>
    <n v="5994632"/>
    <n v="4513922"/>
    <n v="1480710"/>
    <n v="74035.5"/>
    <x v="13"/>
    <m/>
  </r>
  <r>
    <x v="4"/>
    <x v="14"/>
    <x v="6"/>
    <x v="0"/>
    <x v="1"/>
    <x v="14"/>
    <n v="832401311"/>
    <d v="2014-02-23T00:00:00"/>
    <n v="4901"/>
    <n v="82"/>
    <n v="57"/>
    <n v="401882"/>
    <n v="279357"/>
    <n v="122525"/>
    <n v="6126.25"/>
    <x v="14"/>
    <m/>
  </r>
  <r>
    <x v="2"/>
    <x v="15"/>
    <x v="7"/>
    <x v="1"/>
    <x v="3"/>
    <x v="15"/>
    <n v="972292029"/>
    <d v="2012-03-06T00:00:00"/>
    <n v="1673"/>
    <n v="109"/>
    <n v="36"/>
    <n v="182357"/>
    <n v="60228"/>
    <n v="122129"/>
    <n v="6106.4500000000007"/>
    <x v="15"/>
    <m/>
  </r>
  <r>
    <x v="4"/>
    <x v="16"/>
    <x v="8"/>
    <x v="0"/>
    <x v="3"/>
    <x v="16"/>
    <n v="419123971"/>
    <d v="2016-12-18T00:00:00"/>
    <n v="6952"/>
    <n v="437"/>
    <n v="263"/>
    <n v="3038024"/>
    <n v="1828376"/>
    <n v="1209648"/>
    <n v="60482.400000000001"/>
    <x v="16"/>
    <m/>
  </r>
  <r>
    <x v="3"/>
    <x v="17"/>
    <x v="9"/>
    <x v="0"/>
    <x v="1"/>
    <x v="17"/>
    <n v="519820964"/>
    <d v="2015-04-18T00:00:00"/>
    <n v="5430"/>
    <n v="47"/>
    <n v="32"/>
    <n v="255210"/>
    <n v="173760"/>
    <n v="81450"/>
    <n v="4072.5"/>
    <x v="17"/>
    <m/>
  </r>
  <r>
    <x v="4"/>
    <x v="18"/>
    <x v="4"/>
    <x v="0"/>
    <x v="2"/>
    <x v="18"/>
    <n v="441619336"/>
    <d v="2011-01-20T00:00:00"/>
    <n v="3830"/>
    <n v="668"/>
    <n v="503"/>
    <n v="2558440"/>
    <n v="1926490"/>
    <n v="631950"/>
    <n v="31597.5"/>
    <x v="18"/>
    <m/>
  </r>
  <r>
    <x v="0"/>
    <x v="19"/>
    <x v="10"/>
    <x v="1"/>
    <x v="2"/>
    <x v="19"/>
    <n v="322067916"/>
    <d v="2012-11-09T00:00:00"/>
    <n v="5908"/>
    <n v="422"/>
    <n v="365"/>
    <n v="2493176"/>
    <n v="2156420"/>
    <n v="336756"/>
    <n v="16837.8"/>
    <x v="19"/>
    <m/>
  </r>
  <r>
    <x v="2"/>
    <x v="20"/>
    <x v="0"/>
    <x v="1"/>
    <x v="2"/>
    <x v="20"/>
    <n v="819028031"/>
    <d v="2014-06-28T00:00:00"/>
    <n v="7450"/>
    <n v="255"/>
    <n v="159"/>
    <n v="1899750"/>
    <n v="1184550"/>
    <n v="715200"/>
    <n v="35760"/>
    <x v="20"/>
    <m/>
  </r>
  <r>
    <x v="2"/>
    <x v="21"/>
    <x v="0"/>
    <x v="1"/>
    <x v="0"/>
    <x v="21"/>
    <n v="860673511"/>
    <d v="2015-03-09T00:00:00"/>
    <n v="1273"/>
    <n v="255"/>
    <n v="159"/>
    <n v="324615"/>
    <n v="202407"/>
    <n v="122208"/>
    <n v="6110.4000000000005"/>
    <x v="21"/>
    <m/>
  </r>
  <r>
    <x v="1"/>
    <x v="13"/>
    <x v="11"/>
    <x v="1"/>
    <x v="2"/>
    <x v="22"/>
    <n v="795490682"/>
    <d v="2016-07-26T00:00:00"/>
    <n v="2225"/>
    <n v="153"/>
    <n v="97"/>
    <n v="340425"/>
    <n v="215825"/>
    <n v="124600"/>
    <n v="6230"/>
    <x v="22"/>
    <m/>
  </r>
  <r>
    <x v="0"/>
    <x v="22"/>
    <x v="3"/>
    <x v="1"/>
    <x v="0"/>
    <x v="23"/>
    <n v="142278373"/>
    <d v="2014-04-10T00:00:00"/>
    <n v="2187"/>
    <n v="9"/>
    <n v="7"/>
    <n v="19683"/>
    <n v="15309"/>
    <n v="4374"/>
    <n v="218.70000000000002"/>
    <x v="23"/>
    <m/>
  </r>
  <r>
    <x v="2"/>
    <x v="23"/>
    <x v="6"/>
    <x v="1"/>
    <x v="2"/>
    <x v="24"/>
    <n v="740147912"/>
    <d v="2016-10-05T00:00:00"/>
    <n v="5070"/>
    <n v="82"/>
    <n v="57"/>
    <n v="415740"/>
    <n v="288990"/>
    <n v="126750"/>
    <n v="6337.5"/>
    <x v="24"/>
    <m/>
  </r>
  <r>
    <x v="2"/>
    <x v="24"/>
    <x v="8"/>
    <x v="1"/>
    <x v="0"/>
    <x v="25"/>
    <n v="898523128"/>
    <d v="2017-05-06T00:00:00"/>
    <n v="1815"/>
    <n v="437"/>
    <n v="263"/>
    <n v="793155"/>
    <n v="477345"/>
    <n v="315810"/>
    <n v="15790.5"/>
    <x v="25"/>
    <m/>
  </r>
  <r>
    <x v="0"/>
    <x v="25"/>
    <x v="3"/>
    <x v="1"/>
    <x v="3"/>
    <x v="26"/>
    <n v="347140347"/>
    <d v="2014-10-11T00:00:00"/>
    <n v="5398"/>
    <n v="9"/>
    <n v="7"/>
    <n v="48582"/>
    <n v="37786"/>
    <n v="10796"/>
    <n v="539.80000000000007"/>
    <x v="26"/>
    <m/>
  </r>
  <r>
    <x v="3"/>
    <x v="26"/>
    <x v="3"/>
    <x v="1"/>
    <x v="2"/>
    <x v="27"/>
    <n v="686048400"/>
    <d v="2010-10-05T00:00:00"/>
    <n v="5822"/>
    <n v="9"/>
    <n v="7"/>
    <n v="52398"/>
    <n v="40754"/>
    <n v="11644"/>
    <n v="582.20000000000005"/>
    <x v="27"/>
    <m/>
  </r>
  <r>
    <x v="2"/>
    <x v="20"/>
    <x v="9"/>
    <x v="0"/>
    <x v="1"/>
    <x v="28"/>
    <n v="435608613"/>
    <d v="2014-07-30T00:00:00"/>
    <n v="5124"/>
    <n v="47"/>
    <n v="32"/>
    <n v="240828"/>
    <n v="163968"/>
    <n v="76860"/>
    <n v="3843"/>
    <x v="28"/>
    <m/>
  </r>
  <r>
    <x v="3"/>
    <x v="27"/>
    <x v="4"/>
    <x v="0"/>
    <x v="2"/>
    <x v="29"/>
    <n v="886494815"/>
    <d v="2012-09-06T00:00:00"/>
    <n v="2370"/>
    <n v="668"/>
    <n v="503"/>
    <n v="1583160"/>
    <n v="1192110"/>
    <n v="391050"/>
    <n v="19552.5"/>
    <x v="29"/>
    <m/>
  </r>
  <r>
    <x v="2"/>
    <x v="28"/>
    <x v="8"/>
    <x v="0"/>
    <x v="3"/>
    <x v="30"/>
    <n v="249693334"/>
    <d v="2012-10-20T00:00:00"/>
    <n v="8661"/>
    <n v="437"/>
    <n v="263"/>
    <n v="3784857"/>
    <n v="2277843"/>
    <n v="1507014"/>
    <n v="75350.7"/>
    <x v="30"/>
    <m/>
  </r>
  <r>
    <x v="3"/>
    <x v="29"/>
    <x v="6"/>
    <x v="0"/>
    <x v="1"/>
    <x v="31"/>
    <n v="406502997"/>
    <d v="2014-01-28T00:00:00"/>
    <n v="2125"/>
    <n v="82"/>
    <n v="57"/>
    <n v="174250"/>
    <n v="121125"/>
    <n v="53125"/>
    <n v="2656.25"/>
    <x v="31"/>
    <m/>
  </r>
  <r>
    <x v="0"/>
    <x v="30"/>
    <x v="2"/>
    <x v="1"/>
    <x v="1"/>
    <x v="32"/>
    <n v="158535134"/>
    <d v="2015-11-25T00:00:00"/>
    <n v="2924"/>
    <n v="651"/>
    <n v="525"/>
    <n v="1903524"/>
    <n v="1535100"/>
    <n v="368424"/>
    <n v="18421.2"/>
    <x v="32"/>
    <m/>
  </r>
  <r>
    <x v="4"/>
    <x v="31"/>
    <x v="4"/>
    <x v="0"/>
    <x v="0"/>
    <x v="33"/>
    <n v="177713572"/>
    <d v="2015-01-03T00:00:00"/>
    <n v="8250"/>
    <n v="668"/>
    <n v="503"/>
    <n v="5511000"/>
    <n v="4149750"/>
    <n v="1361250"/>
    <n v="68062.5"/>
    <x v="33"/>
    <m/>
  </r>
  <r>
    <x v="3"/>
    <x v="32"/>
    <x v="11"/>
    <x v="1"/>
    <x v="3"/>
    <x v="34"/>
    <n v="756274640"/>
    <d v="2017-02-25T00:00:00"/>
    <n v="7327"/>
    <n v="153"/>
    <n v="97"/>
    <n v="1121031"/>
    <n v="710719"/>
    <n v="410312"/>
    <n v="20515.600000000002"/>
    <x v="34"/>
    <m/>
  </r>
  <r>
    <x v="1"/>
    <x v="33"/>
    <x v="6"/>
    <x v="0"/>
    <x v="2"/>
    <x v="35"/>
    <n v="456767165"/>
    <d v="2017-05-21T00:00:00"/>
    <n v="6409"/>
    <n v="82"/>
    <n v="57"/>
    <n v="525538"/>
    <n v="365313"/>
    <n v="160225"/>
    <n v="8011.25"/>
    <x v="35"/>
    <m/>
  </r>
  <r>
    <x v="5"/>
    <x v="34"/>
    <x v="3"/>
    <x v="1"/>
    <x v="2"/>
    <x v="36"/>
    <n v="162052476"/>
    <d v="2011-03-12T00:00:00"/>
    <n v="3784"/>
    <n v="9"/>
    <n v="7"/>
    <n v="34056"/>
    <n v="26488"/>
    <n v="7568"/>
    <n v="378.40000000000003"/>
    <x v="36"/>
    <m/>
  </r>
  <r>
    <x v="3"/>
    <x v="27"/>
    <x v="10"/>
    <x v="1"/>
    <x v="3"/>
    <x v="37"/>
    <n v="825304400"/>
    <d v="2017-01-23T00:00:00"/>
    <n v="4767"/>
    <n v="422"/>
    <n v="365"/>
    <n v="2011674"/>
    <n v="1739955"/>
    <n v="271719"/>
    <n v="13585.95"/>
    <x v="37"/>
    <m/>
  </r>
  <r>
    <x v="4"/>
    <x v="35"/>
    <x v="2"/>
    <x v="1"/>
    <x v="2"/>
    <x v="38"/>
    <n v="320009267"/>
    <d v="2012-08-05T00:00:00"/>
    <n v="6708"/>
    <n v="651"/>
    <n v="525"/>
    <n v="4366908"/>
    <n v="3521700"/>
    <n v="845208"/>
    <n v="42260.4"/>
    <x v="38"/>
    <m/>
  </r>
  <r>
    <x v="2"/>
    <x v="15"/>
    <x v="2"/>
    <x v="1"/>
    <x v="3"/>
    <x v="39"/>
    <n v="189965903"/>
    <d v="2012-02-28T00:00:00"/>
    <n v="3987"/>
    <n v="651"/>
    <n v="525"/>
    <n v="2595537"/>
    <n v="2093175"/>
    <n v="502362"/>
    <n v="25118.100000000002"/>
    <x v="39"/>
    <m/>
  </r>
  <r>
    <x v="3"/>
    <x v="36"/>
    <x v="6"/>
    <x v="1"/>
    <x v="0"/>
    <x v="40"/>
    <n v="699285638"/>
    <d v="2017-03-28T00:00:00"/>
    <n v="3015"/>
    <n v="82"/>
    <n v="57"/>
    <n v="247230"/>
    <n v="171855"/>
    <n v="75375"/>
    <n v="3768.75"/>
    <x v="40"/>
    <m/>
  </r>
  <r>
    <x v="5"/>
    <x v="37"/>
    <x v="8"/>
    <x v="1"/>
    <x v="3"/>
    <x v="41"/>
    <n v="382392299"/>
    <d v="2010-02-25T00:00:00"/>
    <n v="7234"/>
    <n v="437"/>
    <n v="263"/>
    <n v="3161258"/>
    <n v="1902542"/>
    <n v="1258716"/>
    <n v="62935.8"/>
    <x v="41"/>
    <m/>
  </r>
  <r>
    <x v="3"/>
    <x v="27"/>
    <x v="1"/>
    <x v="0"/>
    <x v="0"/>
    <x v="42"/>
    <n v="994022214"/>
    <d v="2012-08-06T00:00:00"/>
    <n v="2117"/>
    <n v="206"/>
    <n v="117"/>
    <n v="436102"/>
    <n v="247689"/>
    <n v="188413"/>
    <n v="9420.65"/>
    <x v="42"/>
    <m/>
  </r>
  <r>
    <x v="2"/>
    <x v="38"/>
    <x v="5"/>
    <x v="1"/>
    <x v="0"/>
    <x v="43"/>
    <n v="759224212"/>
    <d v="2012-10-11T00:00:00"/>
    <n v="171"/>
    <n v="154"/>
    <n v="91"/>
    <n v="26334"/>
    <n v="15561"/>
    <n v="10773"/>
    <n v="538.65"/>
    <x v="43"/>
    <m/>
  </r>
  <r>
    <x v="4"/>
    <x v="31"/>
    <x v="7"/>
    <x v="1"/>
    <x v="0"/>
    <x v="44"/>
    <n v="223359620"/>
    <d v="2015-11-18T00:00:00"/>
    <n v="5930"/>
    <n v="109"/>
    <n v="36"/>
    <n v="646370"/>
    <n v="213480"/>
    <n v="432890"/>
    <n v="21644.5"/>
    <x v="44"/>
    <m/>
  </r>
  <r>
    <x v="3"/>
    <x v="39"/>
    <x v="1"/>
    <x v="0"/>
    <x v="0"/>
    <x v="45"/>
    <n v="902102267"/>
    <d v="2016-04-29T00:00:00"/>
    <n v="962"/>
    <n v="206"/>
    <n v="117"/>
    <n v="198172"/>
    <n v="112554"/>
    <n v="85618"/>
    <n v="4280.9000000000005"/>
    <x v="45"/>
    <m/>
  </r>
  <r>
    <x v="2"/>
    <x v="40"/>
    <x v="8"/>
    <x v="1"/>
    <x v="1"/>
    <x v="46"/>
    <n v="331438481"/>
    <d v="2016-12-31T00:00:00"/>
    <n v="8867"/>
    <n v="437"/>
    <n v="263"/>
    <n v="3874879"/>
    <n v="2332021"/>
    <n v="1542858"/>
    <n v="77142.900000000009"/>
    <x v="46"/>
    <m/>
  </r>
  <r>
    <x v="2"/>
    <x v="28"/>
    <x v="6"/>
    <x v="1"/>
    <x v="3"/>
    <x v="47"/>
    <n v="617667090"/>
    <d v="2011-01-31T00:00:00"/>
    <n v="273"/>
    <n v="82"/>
    <n v="57"/>
    <n v="22386"/>
    <n v="15561"/>
    <n v="6825"/>
    <n v="341.25"/>
    <x v="47"/>
    <m/>
  </r>
  <r>
    <x v="2"/>
    <x v="41"/>
    <x v="7"/>
    <x v="0"/>
    <x v="1"/>
    <x v="48"/>
    <n v="787399423"/>
    <d v="2014-11-14T00:00:00"/>
    <n v="7842"/>
    <n v="109"/>
    <n v="36"/>
    <n v="854778"/>
    <n v="282312"/>
    <n v="572466"/>
    <n v="28623.300000000003"/>
    <x v="48"/>
    <m/>
  </r>
  <r>
    <x v="3"/>
    <x v="42"/>
    <x v="2"/>
    <x v="0"/>
    <x v="1"/>
    <x v="49"/>
    <n v="837559306"/>
    <d v="2012-01-13T00:00:00"/>
    <n v="1266"/>
    <n v="651"/>
    <n v="525"/>
    <n v="824166"/>
    <n v="664650"/>
    <n v="159516"/>
    <n v="7975.8"/>
    <x v="49"/>
    <m/>
  </r>
  <r>
    <x v="2"/>
    <x v="43"/>
    <x v="7"/>
    <x v="1"/>
    <x v="1"/>
    <x v="50"/>
    <n v="385383069"/>
    <d v="2010-03-18T00:00:00"/>
    <n v="2269"/>
    <n v="109"/>
    <n v="36"/>
    <n v="247321"/>
    <n v="81684"/>
    <n v="165637"/>
    <n v="8281.85"/>
    <x v="50"/>
    <m/>
  </r>
  <r>
    <x v="3"/>
    <x v="44"/>
    <x v="3"/>
    <x v="1"/>
    <x v="2"/>
    <x v="51"/>
    <n v="918419539"/>
    <d v="2013-09-18T00:00:00"/>
    <n v="9606"/>
    <n v="9"/>
    <n v="7"/>
    <n v="86454"/>
    <n v="67242"/>
    <n v="19212"/>
    <n v="960.6"/>
    <x v="51"/>
    <m/>
  </r>
  <r>
    <x v="5"/>
    <x v="45"/>
    <x v="1"/>
    <x v="1"/>
    <x v="3"/>
    <x v="52"/>
    <n v="844530045"/>
    <d v="2013-03-28T00:00:00"/>
    <n v="4063"/>
    <n v="206"/>
    <n v="117"/>
    <n v="836978"/>
    <n v="475371"/>
    <n v="361607"/>
    <n v="18080.350000000002"/>
    <x v="52"/>
    <m/>
  </r>
  <r>
    <x v="3"/>
    <x v="46"/>
    <x v="2"/>
    <x v="0"/>
    <x v="3"/>
    <x v="53"/>
    <n v="441888415"/>
    <d v="2012-07-01T00:00:00"/>
    <n v="3457"/>
    <n v="651"/>
    <n v="525"/>
    <n v="2250507"/>
    <n v="1814925"/>
    <n v="435582"/>
    <n v="21779.100000000002"/>
    <x v="53"/>
    <m/>
  </r>
  <r>
    <x v="3"/>
    <x v="3"/>
    <x v="3"/>
    <x v="0"/>
    <x v="0"/>
    <x v="54"/>
    <n v="508980977"/>
    <d v="2013-10-24T00:00:00"/>
    <n v="7637"/>
    <n v="9"/>
    <n v="7"/>
    <n v="68733"/>
    <n v="53459"/>
    <n v="15274"/>
    <n v="763.7"/>
    <x v="54"/>
    <m/>
  </r>
  <r>
    <x v="3"/>
    <x v="47"/>
    <x v="7"/>
    <x v="1"/>
    <x v="1"/>
    <x v="55"/>
    <n v="114606559"/>
    <d v="2012-06-27T00:00:00"/>
    <n v="3482"/>
    <n v="109"/>
    <n v="36"/>
    <n v="379538"/>
    <n v="125352"/>
    <n v="254186"/>
    <n v="12709.300000000001"/>
    <x v="55"/>
    <m/>
  </r>
  <r>
    <x v="0"/>
    <x v="48"/>
    <x v="7"/>
    <x v="0"/>
    <x v="1"/>
    <x v="56"/>
    <n v="647876489"/>
    <d v="2010-01-08T00:00:00"/>
    <n v="9905"/>
    <n v="109"/>
    <n v="36"/>
    <n v="1079645"/>
    <n v="356580"/>
    <n v="723065"/>
    <n v="36153.25"/>
    <x v="56"/>
    <m/>
  </r>
  <r>
    <x v="2"/>
    <x v="49"/>
    <x v="8"/>
    <x v="0"/>
    <x v="0"/>
    <x v="57"/>
    <n v="868214595"/>
    <d v="2015-02-03T00:00:00"/>
    <n v="2847"/>
    <n v="437"/>
    <n v="263"/>
    <n v="1244139"/>
    <n v="748761"/>
    <n v="495378"/>
    <n v="24768.9"/>
    <x v="57"/>
    <m/>
  </r>
  <r>
    <x v="2"/>
    <x v="50"/>
    <x v="4"/>
    <x v="1"/>
    <x v="2"/>
    <x v="58"/>
    <n v="955357205"/>
    <d v="2012-02-14T00:00:00"/>
    <n v="282"/>
    <n v="668"/>
    <n v="503"/>
    <n v="188376"/>
    <n v="141846"/>
    <n v="46530"/>
    <n v="2326.5"/>
    <x v="58"/>
    <m/>
  </r>
  <r>
    <x v="3"/>
    <x v="32"/>
    <x v="8"/>
    <x v="0"/>
    <x v="0"/>
    <x v="59"/>
    <n v="259353148"/>
    <d v="2014-04-19T00:00:00"/>
    <n v="7215"/>
    <n v="437"/>
    <n v="263"/>
    <n v="3152955"/>
    <n v="1897545"/>
    <n v="1255410"/>
    <n v="62770.5"/>
    <x v="59"/>
    <m/>
  </r>
  <r>
    <x v="0"/>
    <x v="30"/>
    <x v="1"/>
    <x v="0"/>
    <x v="0"/>
    <x v="60"/>
    <n v="450563752"/>
    <d v="2013-02-07T00:00:00"/>
    <n v="682"/>
    <n v="206"/>
    <n v="117"/>
    <n v="140492"/>
    <n v="79794"/>
    <n v="60698"/>
    <n v="3034.9"/>
    <x v="60"/>
    <m/>
  </r>
  <r>
    <x v="2"/>
    <x v="51"/>
    <x v="0"/>
    <x v="1"/>
    <x v="2"/>
    <x v="61"/>
    <n v="569662845"/>
    <d v="2013-01-07T00:00:00"/>
    <n v="4750"/>
    <n v="255"/>
    <n v="159"/>
    <n v="1211250"/>
    <n v="755250"/>
    <n v="456000"/>
    <n v="22800"/>
    <x v="61"/>
    <m/>
  </r>
  <r>
    <x v="3"/>
    <x v="17"/>
    <x v="2"/>
    <x v="1"/>
    <x v="3"/>
    <x v="62"/>
    <n v="177636754"/>
    <d v="2011-11-15T00:00:00"/>
    <n v="5518"/>
    <n v="651"/>
    <n v="525"/>
    <n v="3592218"/>
    <n v="2896950"/>
    <n v="695268"/>
    <n v="34763.4"/>
    <x v="62"/>
    <m/>
  </r>
  <r>
    <x v="5"/>
    <x v="52"/>
    <x v="7"/>
    <x v="0"/>
    <x v="0"/>
    <x v="63"/>
    <n v="705784308"/>
    <d v="2010-11-17T00:00:00"/>
    <n v="6116"/>
    <n v="109"/>
    <n v="36"/>
    <n v="666644"/>
    <n v="220176"/>
    <n v="446468"/>
    <n v="22323.4"/>
    <x v="63"/>
    <m/>
  </r>
  <r>
    <x v="1"/>
    <x v="53"/>
    <x v="8"/>
    <x v="0"/>
    <x v="0"/>
    <x v="64"/>
    <n v="505716836"/>
    <d v="2013-11-16T00:00:00"/>
    <n v="1705"/>
    <n v="437"/>
    <n v="263"/>
    <n v="745085"/>
    <n v="448415"/>
    <n v="296670"/>
    <n v="14833.5"/>
    <x v="64"/>
    <m/>
  </r>
  <r>
    <x v="3"/>
    <x v="4"/>
    <x v="8"/>
    <x v="0"/>
    <x v="0"/>
    <x v="65"/>
    <n v="699358165"/>
    <d v="2013-11-25T00:00:00"/>
    <n v="4477"/>
    <n v="437"/>
    <n v="263"/>
    <n v="1956449"/>
    <n v="1177451"/>
    <n v="778998"/>
    <n v="38949.9"/>
    <x v="65"/>
    <m/>
  </r>
  <r>
    <x v="3"/>
    <x v="54"/>
    <x v="6"/>
    <x v="0"/>
    <x v="2"/>
    <x v="66"/>
    <n v="228944623"/>
    <d v="2012-09-07T00:00:00"/>
    <n v="8656"/>
    <n v="82"/>
    <n v="57"/>
    <n v="709792"/>
    <n v="493392"/>
    <n v="216400"/>
    <n v="10820"/>
    <x v="66"/>
    <m/>
  </r>
  <r>
    <x v="1"/>
    <x v="55"/>
    <x v="7"/>
    <x v="0"/>
    <x v="3"/>
    <x v="67"/>
    <n v="807025039"/>
    <d v="2016-07-09T00:00:00"/>
    <n v="5498"/>
    <n v="109"/>
    <n v="36"/>
    <n v="599282"/>
    <n v="197928"/>
    <n v="401354"/>
    <n v="20067.7"/>
    <x v="67"/>
    <m/>
  </r>
  <r>
    <x v="2"/>
    <x v="56"/>
    <x v="2"/>
    <x v="0"/>
    <x v="0"/>
    <x v="68"/>
    <n v="166460740"/>
    <d v="2010-11-17T00:00:00"/>
    <n v="8287"/>
    <n v="651"/>
    <n v="525"/>
    <n v="5394837"/>
    <n v="4350675"/>
    <n v="1044162"/>
    <n v="52208.100000000006"/>
    <x v="68"/>
    <m/>
  </r>
  <r>
    <x v="3"/>
    <x v="57"/>
    <x v="7"/>
    <x v="0"/>
    <x v="2"/>
    <x v="69"/>
    <n v="610425555"/>
    <d v="2015-05-28T00:00:00"/>
    <n v="7342"/>
    <n v="109"/>
    <n v="36"/>
    <n v="800278"/>
    <n v="264312"/>
    <n v="535966"/>
    <n v="26798.300000000003"/>
    <x v="69"/>
    <m/>
  </r>
  <r>
    <x v="4"/>
    <x v="18"/>
    <x v="2"/>
    <x v="1"/>
    <x v="3"/>
    <x v="70"/>
    <n v="462405812"/>
    <d v="2013-05-20T00:00:00"/>
    <n v="5010"/>
    <n v="651"/>
    <n v="525"/>
    <n v="3261510"/>
    <n v="2630250"/>
    <n v="631260"/>
    <n v="31563"/>
    <x v="70"/>
    <m/>
  </r>
  <r>
    <x v="5"/>
    <x v="52"/>
    <x v="3"/>
    <x v="1"/>
    <x v="2"/>
    <x v="71"/>
    <n v="816200339"/>
    <d v="2015-09-30T00:00:00"/>
    <n v="673"/>
    <n v="9"/>
    <n v="7"/>
    <n v="6057"/>
    <n v="4711"/>
    <n v="1346"/>
    <n v="67.3"/>
    <x v="71"/>
    <m/>
  </r>
  <r>
    <x v="3"/>
    <x v="58"/>
    <x v="9"/>
    <x v="1"/>
    <x v="1"/>
    <x v="72"/>
    <n v="585920464"/>
    <d v="2011-07-15T00:00:00"/>
    <n v="5741"/>
    <n v="47"/>
    <n v="32"/>
    <n v="269827"/>
    <n v="183712"/>
    <n v="86115"/>
    <n v="4305.75"/>
    <x v="72"/>
    <m/>
  </r>
  <r>
    <x v="3"/>
    <x v="32"/>
    <x v="1"/>
    <x v="1"/>
    <x v="0"/>
    <x v="73"/>
    <n v="555990016"/>
    <d v="2017-06-17T00:00:00"/>
    <n v="8656"/>
    <n v="206"/>
    <n v="117"/>
    <n v="1783136"/>
    <n v="1012752"/>
    <n v="770384"/>
    <n v="38519.200000000004"/>
    <x v="73"/>
    <m/>
  </r>
  <r>
    <x v="5"/>
    <x v="59"/>
    <x v="8"/>
    <x v="0"/>
    <x v="2"/>
    <x v="74"/>
    <n v="231145322"/>
    <d v="2013-08-16T00:00:00"/>
    <n v="9892"/>
    <n v="437"/>
    <n v="263"/>
    <n v="4322804"/>
    <n v="2601596"/>
    <n v="1721208"/>
    <n v="86060.400000000009"/>
    <x v="74"/>
    <m/>
  </r>
  <r>
    <x v="6"/>
    <x v="60"/>
    <x v="4"/>
    <x v="0"/>
    <x v="1"/>
    <x v="75"/>
    <n v="986435210"/>
    <d v="2014-12-12T00:00:00"/>
    <n v="6954"/>
    <n v="668"/>
    <n v="503"/>
    <n v="4645272"/>
    <n v="3497862"/>
    <n v="1147410"/>
    <n v="57370.5"/>
    <x v="75"/>
    <m/>
  </r>
  <r>
    <x v="0"/>
    <x v="61"/>
    <x v="9"/>
    <x v="1"/>
    <x v="1"/>
    <x v="76"/>
    <n v="217221009"/>
    <d v="2014-11-15T00:00:00"/>
    <n v="9379"/>
    <n v="47"/>
    <n v="32"/>
    <n v="440813"/>
    <n v="300128"/>
    <n v="140685"/>
    <n v="7034.25"/>
    <x v="76"/>
    <m/>
  </r>
  <r>
    <x v="4"/>
    <x v="62"/>
    <x v="5"/>
    <x v="0"/>
    <x v="1"/>
    <x v="77"/>
    <n v="789176547"/>
    <d v="2011-10-23T00:00:00"/>
    <n v="3732"/>
    <n v="154"/>
    <n v="91"/>
    <n v="574728"/>
    <n v="339612"/>
    <n v="235116"/>
    <n v="11755.800000000001"/>
    <x v="77"/>
    <m/>
  </r>
  <r>
    <x v="2"/>
    <x v="63"/>
    <x v="0"/>
    <x v="0"/>
    <x v="0"/>
    <x v="78"/>
    <n v="688288152"/>
    <d v="2012-02-06T00:00:00"/>
    <n v="8614"/>
    <n v="255"/>
    <n v="159"/>
    <n v="2196570"/>
    <n v="1369626"/>
    <n v="826944"/>
    <n v="41347.200000000004"/>
    <x v="78"/>
    <m/>
  </r>
  <r>
    <x v="0"/>
    <x v="64"/>
    <x v="8"/>
    <x v="1"/>
    <x v="0"/>
    <x v="79"/>
    <n v="670854651"/>
    <d v="2013-07-08T00:00:00"/>
    <n v="9654"/>
    <n v="437"/>
    <n v="263"/>
    <n v="4218798"/>
    <n v="2539002"/>
    <n v="1679796"/>
    <n v="83989.8"/>
    <x v="79"/>
    <m/>
  </r>
  <r>
    <x v="2"/>
    <x v="65"/>
    <x v="4"/>
    <x v="0"/>
    <x v="2"/>
    <x v="80"/>
    <n v="213487374"/>
    <d v="2012-11-30T00:00:00"/>
    <n v="4513"/>
    <n v="668"/>
    <n v="503"/>
    <n v="3014684"/>
    <n v="2270039"/>
    <n v="744645"/>
    <n v="37232.25"/>
    <x v="80"/>
    <m/>
  </r>
  <r>
    <x v="5"/>
    <x v="66"/>
    <x v="7"/>
    <x v="1"/>
    <x v="2"/>
    <x v="81"/>
    <n v="663110148"/>
    <d v="2012-08-10T00:00:00"/>
    <n v="7884"/>
    <n v="109"/>
    <n v="36"/>
    <n v="859356"/>
    <n v="283824"/>
    <n v="575532"/>
    <n v="28776.600000000002"/>
    <x v="81"/>
    <m/>
  </r>
  <r>
    <x v="5"/>
    <x v="67"/>
    <x v="8"/>
    <x v="1"/>
    <x v="0"/>
    <x v="82"/>
    <n v="286959302"/>
    <d v="2016-08-12T00:00:00"/>
    <n v="6489"/>
    <n v="437"/>
    <n v="263"/>
    <n v="2835693"/>
    <n v="1706607"/>
    <n v="1129086"/>
    <n v="56454.3"/>
    <x v="82"/>
    <m/>
  </r>
  <r>
    <x v="3"/>
    <x v="68"/>
    <x v="11"/>
    <x v="1"/>
    <x v="2"/>
    <x v="83"/>
    <n v="122583663"/>
    <d v="2011-05-01T00:00:00"/>
    <n v="4085"/>
    <n v="153"/>
    <n v="97"/>
    <n v="625005"/>
    <n v="396245"/>
    <n v="228760"/>
    <n v="11438"/>
    <x v="83"/>
    <m/>
  </r>
  <r>
    <x v="3"/>
    <x v="69"/>
    <x v="5"/>
    <x v="1"/>
    <x v="2"/>
    <x v="84"/>
    <n v="827844560"/>
    <d v="2012-07-04T00:00:00"/>
    <n v="6457"/>
    <n v="154"/>
    <n v="91"/>
    <n v="994378"/>
    <n v="587587"/>
    <n v="406791"/>
    <n v="20339.550000000003"/>
    <x v="84"/>
    <m/>
  </r>
  <r>
    <x v="6"/>
    <x v="60"/>
    <x v="6"/>
    <x v="0"/>
    <x v="2"/>
    <x v="85"/>
    <n v="430915820"/>
    <d v="2012-03-20T00:00:00"/>
    <n v="6422"/>
    <n v="82"/>
    <n v="57"/>
    <n v="526604"/>
    <n v="366054"/>
    <n v="160550"/>
    <n v="8027.5"/>
    <x v="85"/>
    <m/>
  </r>
  <r>
    <x v="3"/>
    <x v="3"/>
    <x v="9"/>
    <x v="0"/>
    <x v="1"/>
    <x v="86"/>
    <n v="180283772"/>
    <d v="2011-01-21T00:00:00"/>
    <n v="8829"/>
    <n v="47"/>
    <n v="32"/>
    <n v="414963"/>
    <n v="282528"/>
    <n v="132435"/>
    <n v="6621.75"/>
    <x v="86"/>
    <m/>
  </r>
  <r>
    <x v="3"/>
    <x v="27"/>
    <x v="0"/>
    <x v="0"/>
    <x v="3"/>
    <x v="87"/>
    <n v="494747245"/>
    <d v="2014-03-20T00:00:00"/>
    <n v="5559"/>
    <n v="255"/>
    <n v="159"/>
    <n v="1417545"/>
    <n v="883881"/>
    <n v="533664"/>
    <n v="26683.200000000001"/>
    <x v="87"/>
    <m/>
  </r>
  <r>
    <x v="5"/>
    <x v="70"/>
    <x v="3"/>
    <x v="1"/>
    <x v="3"/>
    <x v="88"/>
    <n v="513417565"/>
    <d v="2012-05-18T00:00:00"/>
    <n v="522"/>
    <n v="9"/>
    <n v="7"/>
    <n v="4698"/>
    <n v="3654"/>
    <n v="1044"/>
    <n v="52.2"/>
    <x v="88"/>
    <m/>
  </r>
  <r>
    <x v="2"/>
    <x v="71"/>
    <x v="9"/>
    <x v="0"/>
    <x v="1"/>
    <x v="89"/>
    <n v="345718562"/>
    <d v="2016-11-25T00:00:00"/>
    <n v="4660"/>
    <n v="47"/>
    <n v="32"/>
    <n v="219020"/>
    <n v="149120"/>
    <n v="69900"/>
    <n v="3495"/>
    <x v="89"/>
    <m/>
  </r>
  <r>
    <x v="3"/>
    <x v="46"/>
    <x v="2"/>
    <x v="0"/>
    <x v="0"/>
    <x v="90"/>
    <n v="621386563"/>
    <d v="2016-12-14T00:00:00"/>
    <n v="948"/>
    <n v="651"/>
    <n v="525"/>
    <n v="617148"/>
    <n v="497700"/>
    <n v="119448"/>
    <n v="5972.4000000000005"/>
    <x v="90"/>
    <m/>
  </r>
  <r>
    <x v="0"/>
    <x v="30"/>
    <x v="9"/>
    <x v="0"/>
    <x v="0"/>
    <x v="91"/>
    <n v="240470397"/>
    <d v="2014-11-07T00:00:00"/>
    <n v="9389"/>
    <n v="47"/>
    <n v="32"/>
    <n v="441283"/>
    <n v="300448"/>
    <n v="140835"/>
    <n v="7041.75"/>
    <x v="91"/>
    <m/>
  </r>
  <r>
    <x v="5"/>
    <x v="37"/>
    <x v="2"/>
    <x v="1"/>
    <x v="3"/>
    <x v="92"/>
    <n v="423331391"/>
    <d v="2012-07-24T00:00:00"/>
    <n v="2021"/>
    <n v="651"/>
    <n v="525"/>
    <n v="1315671"/>
    <n v="1061025"/>
    <n v="254646"/>
    <n v="12732.300000000001"/>
    <x v="92"/>
    <m/>
  </r>
  <r>
    <x v="2"/>
    <x v="72"/>
    <x v="8"/>
    <x v="1"/>
    <x v="0"/>
    <x v="93"/>
    <n v="660643374"/>
    <d v="2010-12-25T00:00:00"/>
    <n v="7910"/>
    <n v="437"/>
    <n v="263"/>
    <n v="3456670"/>
    <n v="2080330"/>
    <n v="1376340"/>
    <n v="68817"/>
    <x v="93"/>
    <m/>
  </r>
  <r>
    <x v="1"/>
    <x v="73"/>
    <x v="9"/>
    <x v="0"/>
    <x v="1"/>
    <x v="94"/>
    <n v="963392674"/>
    <d v="2011-03-21T00:00:00"/>
    <n v="8156"/>
    <n v="47"/>
    <n v="32"/>
    <n v="383332"/>
    <n v="260992"/>
    <n v="122340"/>
    <n v="6117"/>
    <x v="94"/>
    <m/>
  </r>
  <r>
    <x v="3"/>
    <x v="26"/>
    <x v="7"/>
    <x v="1"/>
    <x v="3"/>
    <x v="95"/>
    <n v="512878119"/>
    <d v="2011-03-09T00:00:00"/>
    <n v="888"/>
    <n v="109"/>
    <n v="36"/>
    <n v="96792"/>
    <n v="31968"/>
    <n v="64824"/>
    <n v="3241.2000000000003"/>
    <x v="95"/>
    <m/>
  </r>
  <r>
    <x v="4"/>
    <x v="74"/>
    <x v="3"/>
    <x v="0"/>
    <x v="2"/>
    <x v="96"/>
    <n v="810711038"/>
    <d v="2011-12-28T00:00:00"/>
    <n v="6267"/>
    <n v="9"/>
    <n v="7"/>
    <n v="56403"/>
    <n v="43869"/>
    <n v="12534"/>
    <n v="626.70000000000005"/>
    <x v="96"/>
    <m/>
  </r>
  <r>
    <x v="3"/>
    <x v="46"/>
    <x v="5"/>
    <x v="0"/>
    <x v="1"/>
    <x v="97"/>
    <n v="728815257"/>
    <d v="2016-06-29T00:00:00"/>
    <n v="1485"/>
    <n v="154"/>
    <n v="91"/>
    <n v="228690"/>
    <n v="135135"/>
    <n v="93555"/>
    <n v="4677.75"/>
    <x v="97"/>
    <m/>
  </r>
  <r>
    <x v="6"/>
    <x v="60"/>
    <x v="6"/>
    <x v="0"/>
    <x v="3"/>
    <x v="98"/>
    <n v="559427106"/>
    <d v="2015-08-08T00:00:00"/>
    <n v="5767"/>
    <n v="82"/>
    <n v="57"/>
    <n v="472894"/>
    <n v="328719"/>
    <n v="144175"/>
    <n v="7208.75"/>
    <x v="98"/>
    <m/>
  </r>
  <r>
    <x v="3"/>
    <x v="75"/>
    <x v="4"/>
    <x v="0"/>
    <x v="2"/>
    <x v="99"/>
    <n v="665095412"/>
    <d v="2012-02-15T00:00:00"/>
    <n v="5367"/>
    <n v="668"/>
    <n v="503"/>
    <n v="3585156"/>
    <n v="2699601"/>
    <n v="885555"/>
    <n v="44277.75"/>
    <x v="9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F464D6-CF01-4855-90C6-F942ED7C04B8}"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numFmtId="164" showAll="0"/>
    <pivotField numFmtId="164" showAll="0"/>
    <pivotField numFmtId="164" showAll="0"/>
    <pivotField dataField="1" showAll="0"/>
    <pivotField showAll="0"/>
    <pivotField showAll="0"/>
    <pivotField numFmtId="1" showAll="0"/>
    <pivotField numFmtId="1"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Total Revenue" fld="11" baseField="0" baseItem="0" numFmtId="165"/>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706547-F016-47AE-9D9C-7008089F00A1}"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A16" firstHeaderRow="1" firstDataRow="1" firstDataCol="0"/>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numFmtId="164" showAll="0"/>
    <pivotField numFmtId="164" showAll="0"/>
    <pivotField numFmtId="164" showAll="0"/>
    <pivotField showAll="0"/>
    <pivotField showAll="0"/>
    <pivotField showAll="0"/>
    <pivotField numFmtId="1" showAll="0"/>
    <pivotField dataField="1" numFmtId="1"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Average of Net Profit" fld="15" subtotal="average" baseField="0" baseItem="0" numFmtId="165"/>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752ECF-7C44-49DA-89F7-87168D812E18}"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12" firstHeaderRow="1" firstDataRow="1" firstDataCol="0"/>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numFmtId="164" showAll="0"/>
    <pivotField numFmtId="164" showAll="0"/>
    <pivotField numFmtId="164" showAll="0"/>
    <pivotField showAll="0"/>
    <pivotField showAll="0"/>
    <pivotField showAll="0"/>
    <pivotField numFmtId="1" showAll="0"/>
    <pivotField dataField="1" numFmtId="1"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Net Profit" fld="15" baseField="0" baseItem="0" numFmtId="165"/>
  </dataFields>
  <formats count="2">
    <format dxfId="25">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D7C686-EF5F-47DF-82AA-C2EF2909A3BB}"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dataField="1" numFmtId="164" showAll="0"/>
    <pivotField numFmtId="164" showAll="0"/>
    <pivotField numFmtId="164" showAll="0"/>
    <pivotField showAll="0"/>
    <pivotField showAll="0"/>
    <pivotField showAll="0"/>
    <pivotField numFmtId="1" showAll="0"/>
    <pivotField numFmtId="1"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Units Sold" fld="8" baseField="0" baseItem="0" numFmtId="165"/>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446778-0F8C-4D01-B305-7AA7ECB85A28}"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axis="axisRow" showAll="0" sortType="ascending">
      <items count="13">
        <item x="0"/>
        <item x="9"/>
        <item x="1"/>
        <item x="7"/>
        <item x="8"/>
        <item x="3"/>
        <item x="4"/>
        <item x="10"/>
        <item x="2"/>
        <item x="6"/>
        <item x="11"/>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15">
        <item x="0"/>
        <item x="1"/>
        <item x="2"/>
        <item x="3"/>
        <item x="4"/>
        <item x="5"/>
        <item x="6"/>
        <item x="7"/>
        <item x="8"/>
        <item x="9"/>
        <item x="10"/>
        <item x="11"/>
        <item x="12"/>
        <item x="13"/>
        <item t="default"/>
      </items>
    </pivotField>
    <pivotField showAll="0"/>
    <pivotField numFmtId="14" showAll="0"/>
    <pivotField numFmtId="164" showAll="0"/>
    <pivotField numFmtId="164" showAll="0"/>
    <pivotField numFmtId="164" showAll="0"/>
    <pivotField showAll="0"/>
    <pivotField showAll="0"/>
    <pivotField showAll="0"/>
    <pivotField numFmtId="1" showAll="0"/>
    <pivotField dataField="1" numFmtId="1"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2"/>
  </rowFields>
  <rowItems count="13">
    <i>
      <x v="5"/>
    </i>
    <i>
      <x v="7"/>
    </i>
    <i>
      <x v="10"/>
    </i>
    <i>
      <x v="1"/>
    </i>
    <i>
      <x v="9"/>
    </i>
    <i>
      <x v="11"/>
    </i>
    <i>
      <x v="2"/>
    </i>
    <i>
      <x/>
    </i>
    <i>
      <x v="3"/>
    </i>
    <i>
      <x v="8"/>
    </i>
    <i>
      <x v="6"/>
    </i>
    <i>
      <x v="4"/>
    </i>
    <i t="grand">
      <x/>
    </i>
  </rowItems>
  <colItems count="1">
    <i/>
  </colItems>
  <dataFields count="1">
    <dataField name="Sum of Net Profit" fld="15" baseField="0" baseItem="0" numFmtId="165"/>
  </dataFields>
  <formats count="1">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743FCF-9390-4EAF-B01C-660E9E30B69F}"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14" showAll="0">
      <items count="15">
        <item x="0"/>
        <item x="1"/>
        <item x="2"/>
        <item x="3"/>
        <item x="4"/>
        <item x="5"/>
        <item x="6"/>
        <item x="7"/>
        <item x="8"/>
        <item x="9"/>
        <item x="10"/>
        <item x="11"/>
        <item x="12"/>
        <item x="13"/>
        <item t="default"/>
      </items>
    </pivotField>
    <pivotField showAll="0"/>
    <pivotField numFmtId="14" showAll="0"/>
    <pivotField dataField="1" numFmtId="164" showAll="0"/>
    <pivotField numFmtId="164" showAll="0"/>
    <pivotField numFmtId="164" showAll="0"/>
    <pivotField showAll="0"/>
    <pivotField showAll="0"/>
    <pivotField showAll="0"/>
    <pivotField numFmtId="1" showAll="0"/>
    <pivotField numFmtId="1"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5">
    <i>
      <x v="1"/>
    </i>
    <i>
      <x v="2"/>
    </i>
    <i>
      <x/>
    </i>
    <i>
      <x v="3"/>
    </i>
    <i t="grand">
      <x/>
    </i>
  </rowItems>
  <colItems count="1">
    <i/>
  </colItems>
  <dataFields count="1">
    <dataField name="Sum of Units Sold" fld="8" baseField="0" baseItem="0" numFmtId="165"/>
  </dataFields>
  <formats count="1">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E0398F-DEE8-4F1A-B8FA-5D1965551ADA}"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6" firstHeaderRow="1"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axis="axisRow" dataField="1" showAll="0">
      <items count="3">
        <item x="0"/>
        <item x="1"/>
        <item t="default"/>
      </items>
    </pivotField>
    <pivotField showAll="0"/>
    <pivotField numFmtId="14" showAll="0">
      <items count="15">
        <item x="0"/>
        <item x="1"/>
        <item x="2"/>
        <item x="3"/>
        <item x="4"/>
        <item x="5"/>
        <item x="6"/>
        <item x="7"/>
        <item x="8"/>
        <item x="9"/>
        <item x="10"/>
        <item x="11"/>
        <item x="12"/>
        <item x="13"/>
        <item t="default"/>
      </items>
    </pivotField>
    <pivotField showAll="0"/>
    <pivotField numFmtId="14" showAll="0"/>
    <pivotField numFmtId="164" showAll="0"/>
    <pivotField numFmtId="164" showAll="0"/>
    <pivotField numFmtId="164" showAll="0"/>
    <pivotField showAll="0"/>
    <pivotField showAll="0"/>
    <pivotField showAll="0"/>
    <pivotField numFmtId="1" showAll="0"/>
    <pivotField numFmtId="1" showAll="0"/>
    <pivotField showAll="0"/>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3">
    <i>
      <x/>
    </i>
    <i>
      <x v="1"/>
    </i>
    <i t="grand">
      <x/>
    </i>
  </rowItems>
  <colItems count="1">
    <i/>
  </colItems>
  <dataFields count="1">
    <dataField name="Count of Sales Channel" fld="3" subtotal="count" showDataAs="percentOfTotal" baseField="3" baseItem="0" numFmtId="9"/>
  </dataFields>
  <formats count="1">
    <format dxfId="19">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C7B436-AFF6-41F0-A73C-3BD25FEE7A30}"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2" firstHeaderRow="0" firstDataRow="1" firstDataCol="1"/>
  <pivotFields count="19">
    <pivotField showAll="0">
      <items count="8">
        <item x="4"/>
        <item x="0"/>
        <item x="1"/>
        <item x="2"/>
        <item x="5"/>
        <item x="6"/>
        <item x="3"/>
        <item t="default"/>
      </items>
    </pivotField>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pivotField showAll="0"/>
    <pivotField axis="axisRow" numFmtId="14" showAll="0">
      <items count="15">
        <item x="0"/>
        <item x="1"/>
        <item x="2"/>
        <item x="3"/>
        <item x="4"/>
        <item x="5"/>
        <item x="6"/>
        <item x="7"/>
        <item x="8"/>
        <item x="9"/>
        <item x="10"/>
        <item x="11"/>
        <item x="12"/>
        <item x="13"/>
        <item t="default"/>
      </items>
    </pivotField>
    <pivotField showAll="0"/>
    <pivotField numFmtId="14" showAll="0"/>
    <pivotField numFmtId="164" showAll="0"/>
    <pivotField numFmtId="164" showAll="0"/>
    <pivotField numFmtId="164" showAll="0"/>
    <pivotField showAll="0"/>
    <pivotField dataField="1" showAll="0"/>
    <pivotField showAll="0"/>
    <pivotField numFmtId="1" showAll="0"/>
    <pivotField dataField="1" numFmtId="1" showAll="0">
      <items count="101">
        <item x="88"/>
        <item x="71"/>
        <item x="23"/>
        <item x="47"/>
        <item x="36"/>
        <item x="10"/>
        <item x="43"/>
        <item x="26"/>
        <item x="27"/>
        <item x="96"/>
        <item x="54"/>
        <item x="3"/>
        <item x="51"/>
        <item x="58"/>
        <item x="31"/>
        <item x="60"/>
        <item x="95"/>
        <item x="89"/>
        <item x="40"/>
        <item x="28"/>
        <item x="17"/>
        <item x="45"/>
        <item x="72"/>
        <item x="97"/>
        <item x="90"/>
        <item x="15"/>
        <item x="21"/>
        <item x="94"/>
        <item x="14"/>
        <item x="22"/>
        <item x="24"/>
        <item x="86"/>
        <item x="76"/>
        <item x="91"/>
        <item x="98"/>
        <item x="8"/>
        <item x="49"/>
        <item x="35"/>
        <item x="85"/>
        <item x="50"/>
        <item x="42"/>
        <item x="66"/>
        <item x="2"/>
        <item x="83"/>
        <item x="77"/>
        <item x="1"/>
        <item x="55"/>
        <item x="92"/>
        <item x="37"/>
        <item x="5"/>
        <item x="64"/>
        <item x="11"/>
        <item x="25"/>
        <item x="19"/>
        <item x="52"/>
        <item x="32"/>
        <item x="29"/>
        <item x="67"/>
        <item x="84"/>
        <item x="34"/>
        <item x="44"/>
        <item x="53"/>
        <item x="63"/>
        <item x="61"/>
        <item x="57"/>
        <item x="39"/>
        <item x="7"/>
        <item x="87"/>
        <item x="69"/>
        <item x="48"/>
        <item x="81"/>
        <item x="9"/>
        <item x="12"/>
        <item x="70"/>
        <item x="18"/>
        <item x="4"/>
        <item x="6"/>
        <item x="62"/>
        <item x="20"/>
        <item x="56"/>
        <item x="80"/>
        <item x="73"/>
        <item x="65"/>
        <item x="78"/>
        <item x="38"/>
        <item x="99"/>
        <item x="0"/>
        <item x="68"/>
        <item x="82"/>
        <item x="75"/>
        <item x="16"/>
        <item x="59"/>
        <item x="41"/>
        <item x="33"/>
        <item x="93"/>
        <item x="13"/>
        <item x="30"/>
        <item x="46"/>
        <item x="79"/>
        <item x="74"/>
        <item t="default"/>
      </items>
    </pivotField>
    <pivotField showAll="0"/>
    <pivotField axis="axisRow"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3">
    <field x="18"/>
    <field x="17"/>
    <field x="5"/>
  </rowFields>
  <rowItems count="9">
    <i>
      <x v="1"/>
    </i>
    <i>
      <x v="2"/>
    </i>
    <i>
      <x v="3"/>
    </i>
    <i>
      <x v="4"/>
    </i>
    <i>
      <x v="5"/>
    </i>
    <i>
      <x v="6"/>
    </i>
    <i>
      <x v="7"/>
    </i>
    <i>
      <x v="8"/>
    </i>
    <i t="grand">
      <x/>
    </i>
  </rowItems>
  <colFields count="1">
    <field x="-2"/>
  </colFields>
  <colItems count="2">
    <i>
      <x/>
    </i>
    <i i="1">
      <x v="1"/>
    </i>
  </colItems>
  <dataFields count="2">
    <dataField name="Sum of Total Cost" fld="12" baseField="0" baseItem="0"/>
    <dataField name="Sum of Net Profit" fld="15" baseField="0" baseItem="0"/>
  </dataFields>
  <formats count="1">
    <format dxfId="1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8903DCB-E3E9-4CDC-BE6C-E72D54E4651F}" sourceName="Region">
  <pivotTables>
    <pivotTable tabId="5" name="PivotTable6"/>
    <pivotTable tabId="7" name="PivotTable8"/>
    <pivotTable tabId="6" name="PivotTable7"/>
    <pivotTable tabId="4" name="PivotTable5"/>
    <pivotTable tabId="3" name="PivotTable1"/>
    <pivotTable tabId="3" name="PivotTable3"/>
    <pivotTable tabId="3" name="PivotTable4"/>
    <pivotTable tabId="3" name="PivotTable2"/>
  </pivotTables>
  <data>
    <tabular pivotCacheId="1275967524">
      <items count="7">
        <i x="4" s="1"/>
        <i x="0" s="1"/>
        <i x="1" s="1"/>
        <i x="2" s="1"/>
        <i x="5" s="1"/>
        <i x="6"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1F21866-9EB3-490C-BFDB-175511B28471}" sourceName="Country">
  <pivotTables>
    <pivotTable tabId="5" name="PivotTable6"/>
    <pivotTable tabId="7" name="PivotTable8"/>
    <pivotTable tabId="6" name="PivotTable7"/>
    <pivotTable tabId="4" name="PivotTable5"/>
    <pivotTable tabId="3" name="PivotTable1"/>
    <pivotTable tabId="3" name="PivotTable2"/>
    <pivotTable tabId="3" name="PivotTable3"/>
    <pivotTable tabId="3" name="PivotTable4"/>
  </pivotTables>
  <data>
    <tabular pivotCacheId="1275967524">
      <items count="76">
        <i x="43" s="1"/>
        <i x="6" s="1"/>
        <i x="30" s="1"/>
        <i x="49" s="1"/>
        <i x="37" s="1"/>
        <i x="12" s="1"/>
        <i x="55" s="1"/>
        <i x="35" s="1"/>
        <i x="15" s="1"/>
        <i x="7" s="1"/>
        <i x="17" s="1"/>
        <i x="11" s="1"/>
        <i x="39" s="1"/>
        <i x="33" s="1"/>
        <i x="47" s="1"/>
        <i x="58" s="1"/>
        <i x="32" s="1"/>
        <i x="19" s="1"/>
        <i x="61" s="1"/>
        <i x="48" s="1"/>
        <i x="24" s="1"/>
        <i x="54" s="1"/>
        <i x="1" s="1"/>
        <i x="53" s="1"/>
        <i x="13" s="1"/>
        <i x="40" s="1"/>
        <i x="67" s="1"/>
        <i x="69" s="1"/>
        <i x="25" s="1"/>
        <i x="70" s="1"/>
        <i x="10" s="1"/>
        <i x="62" s="1"/>
        <i x="66" s="1"/>
        <i x="44" s="1"/>
        <i x="52" s="1"/>
        <i x="56" s="1"/>
        <i x="41" s="1"/>
        <i x="57" s="1"/>
        <i x="74" s="1"/>
        <i x="26" s="1"/>
        <i x="42" s="1"/>
        <i x="60" s="1"/>
        <i x="23" s="1"/>
        <i x="63" s="1"/>
        <i x="14" s="1"/>
        <i x="75" s="1"/>
        <i x="31" s="1"/>
        <i x="22" s="1"/>
        <i x="73" s="1"/>
        <i x="36" s="1"/>
        <i x="20" s="1"/>
        <i x="59" s="1"/>
        <i x="21" s="1"/>
        <i x="8" s="1"/>
        <i x="72" s="1"/>
        <i x="2" s="1"/>
        <i x="4" s="1"/>
        <i x="64" s="1"/>
        <i x="51" s="1"/>
        <i x="3" s="1"/>
        <i x="45" s="1"/>
        <i x="9" s="1"/>
        <i x="46" s="1"/>
        <i x="38" s="1"/>
        <i x="71" s="1"/>
        <i x="5" s="1"/>
        <i x="29" s="1"/>
        <i x="65" s="1"/>
        <i x="16" s="1"/>
        <i x="28" s="1"/>
        <i x="34" s="1"/>
        <i x="27" s="1"/>
        <i x="18" s="1"/>
        <i x="0" s="1"/>
        <i x="50" s="1"/>
        <i x="6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BC0E139-1B24-467E-BFAE-E556DDD10EE1}" cache="Slicer_Region" caption="Region" style="SlicerStyleLight2" rowHeight="241300"/>
  <slicer name="Country" xr10:uid="{AD026D10-BDC2-42BE-89EB-F60150A679EE}" cache="Slicer_Country" caption="Country"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6B1C4-AC23-4CF6-A04A-28684BB01CEC}">
  <dimension ref="A1:S101"/>
  <sheetViews>
    <sheetView workbookViewId="0"/>
  </sheetViews>
  <sheetFormatPr defaultRowHeight="15" x14ac:dyDescent="0.25"/>
  <cols>
    <col min="1" max="1" width="30.42578125" bestFit="1" customWidth="1"/>
    <col min="2" max="2" width="18.140625" customWidth="1"/>
    <col min="3" max="3" width="13.140625" bestFit="1" customWidth="1"/>
    <col min="4" max="4" width="12.28515625" bestFit="1" customWidth="1"/>
    <col min="5" max="5" width="13.28515625" bestFit="1" customWidth="1"/>
    <col min="6" max="6" width="10.42578125" bestFit="1" customWidth="1"/>
    <col min="7" max="7" width="9.85546875" bestFit="1" customWidth="1"/>
    <col min="8" max="8" width="10.42578125" bestFit="1" customWidth="1"/>
    <col min="9" max="9" width="10" bestFit="1" customWidth="1"/>
    <col min="12" max="12" width="13.85546875" bestFit="1" customWidth="1"/>
    <col min="14" max="14" width="11.42578125" bestFit="1" customWidth="1"/>
    <col min="15" max="15" width="8.42578125" style="6" customWidth="1"/>
    <col min="16" max="16" width="10.5703125" style="6" bestFit="1" customWidth="1"/>
    <col min="17" max="17" width="17.71093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113</v>
      </c>
      <c r="M1" s="1" t="s">
        <v>114</v>
      </c>
      <c r="N1" s="1" t="s">
        <v>115</v>
      </c>
      <c r="O1" s="5" t="s">
        <v>112</v>
      </c>
      <c r="P1" s="5" t="s">
        <v>116</v>
      </c>
      <c r="Q1" s="1" t="s">
        <v>117</v>
      </c>
    </row>
    <row r="2" spans="1:19" x14ac:dyDescent="0.25">
      <c r="A2" t="s">
        <v>11</v>
      </c>
      <c r="B2" t="s">
        <v>12</v>
      </c>
      <c r="C2" t="s">
        <v>13</v>
      </c>
      <c r="D2" t="s">
        <v>14</v>
      </c>
      <c r="E2" t="s">
        <v>15</v>
      </c>
      <c r="F2" s="2">
        <v>40326</v>
      </c>
      <c r="G2">
        <v>669165933</v>
      </c>
      <c r="H2" s="2">
        <v>40356</v>
      </c>
      <c r="I2" s="3">
        <v>9925</v>
      </c>
      <c r="J2" s="3">
        <v>255</v>
      </c>
      <c r="K2" s="3">
        <v>159</v>
      </c>
      <c r="L2">
        <f>I2*J2</f>
        <v>2530875</v>
      </c>
      <c r="M2">
        <f>I2*K2</f>
        <v>1578075</v>
      </c>
      <c r="N2">
        <f>L2-M2</f>
        <v>952800</v>
      </c>
      <c r="O2" s="6">
        <f>N2*5%</f>
        <v>47640</v>
      </c>
      <c r="P2" s="6">
        <f>N2-O2</f>
        <v>905160</v>
      </c>
      <c r="Q2" s="6">
        <f>AVERAGE(P2:P101)</f>
        <v>418624.70100000012</v>
      </c>
      <c r="S2" s="4"/>
    </row>
    <row r="3" spans="1:19" x14ac:dyDescent="0.25">
      <c r="A3" t="s">
        <v>16</v>
      </c>
      <c r="B3" t="s">
        <v>17</v>
      </c>
      <c r="C3" t="s">
        <v>18</v>
      </c>
      <c r="D3" t="s">
        <v>19</v>
      </c>
      <c r="E3" t="s">
        <v>20</v>
      </c>
      <c r="F3" s="2">
        <v>41143</v>
      </c>
      <c r="G3">
        <v>963881480</v>
      </c>
      <c r="H3" s="2">
        <v>41167</v>
      </c>
      <c r="I3" s="3">
        <v>2804</v>
      </c>
      <c r="J3" s="3">
        <v>206</v>
      </c>
      <c r="K3" s="3">
        <v>117</v>
      </c>
      <c r="L3">
        <f t="shared" ref="L3:L66" si="0">I3*J3</f>
        <v>577624</v>
      </c>
      <c r="M3">
        <f t="shared" ref="M3:M66" si="1">I3*K3</f>
        <v>328068</v>
      </c>
      <c r="N3">
        <f t="shared" ref="N3:N66" si="2">L3-M3</f>
        <v>249556</v>
      </c>
      <c r="O3" s="6">
        <f>N3*5%</f>
        <v>12477.800000000001</v>
      </c>
      <c r="P3" s="6">
        <f t="shared" ref="P3:P66" si="3">N3-O3</f>
        <v>237078.2</v>
      </c>
    </row>
    <row r="4" spans="1:19" x14ac:dyDescent="0.25">
      <c r="A4" t="s">
        <v>21</v>
      </c>
      <c r="B4" t="s">
        <v>22</v>
      </c>
      <c r="C4" t="s">
        <v>23</v>
      </c>
      <c r="D4" t="s">
        <v>14</v>
      </c>
      <c r="E4" t="s">
        <v>24</v>
      </c>
      <c r="F4" s="2">
        <v>41761</v>
      </c>
      <c r="G4">
        <v>341417157</v>
      </c>
      <c r="H4" s="2">
        <v>41856</v>
      </c>
      <c r="I4" s="3">
        <v>1779</v>
      </c>
      <c r="J4" s="3">
        <v>651</v>
      </c>
      <c r="K4" s="3">
        <v>525</v>
      </c>
      <c r="L4">
        <f t="shared" si="0"/>
        <v>1158129</v>
      </c>
      <c r="M4">
        <f t="shared" si="1"/>
        <v>933975</v>
      </c>
      <c r="N4">
        <f t="shared" si="2"/>
        <v>224154</v>
      </c>
      <c r="O4" s="6">
        <f t="shared" ref="O4:O66" si="4">N4*5%</f>
        <v>11207.7</v>
      </c>
      <c r="P4" s="6">
        <f t="shared" si="3"/>
        <v>212946.3</v>
      </c>
    </row>
    <row r="5" spans="1:19" x14ac:dyDescent="0.25">
      <c r="A5" t="s">
        <v>25</v>
      </c>
      <c r="B5" t="s">
        <v>26</v>
      </c>
      <c r="C5" t="s">
        <v>27</v>
      </c>
      <c r="D5" t="s">
        <v>19</v>
      </c>
      <c r="E5" t="s">
        <v>20</v>
      </c>
      <c r="F5" s="2">
        <v>41810</v>
      </c>
      <c r="G5">
        <v>514321792</v>
      </c>
      <c r="H5" s="2">
        <v>41766</v>
      </c>
      <c r="I5" s="3">
        <v>8102</v>
      </c>
      <c r="J5" s="3">
        <v>9</v>
      </c>
      <c r="K5" s="3">
        <v>7</v>
      </c>
      <c r="L5">
        <f t="shared" si="0"/>
        <v>72918</v>
      </c>
      <c r="M5">
        <f t="shared" si="1"/>
        <v>56714</v>
      </c>
      <c r="N5">
        <f t="shared" si="2"/>
        <v>16204</v>
      </c>
      <c r="O5" s="6">
        <f t="shared" si="4"/>
        <v>810.2</v>
      </c>
      <c r="P5" s="6">
        <f t="shared" si="3"/>
        <v>15393.8</v>
      </c>
    </row>
    <row r="6" spans="1:19" x14ac:dyDescent="0.25">
      <c r="A6" t="s">
        <v>25</v>
      </c>
      <c r="B6" t="s">
        <v>28</v>
      </c>
      <c r="C6" t="s">
        <v>23</v>
      </c>
      <c r="D6" t="s">
        <v>14</v>
      </c>
      <c r="E6" t="s">
        <v>24</v>
      </c>
      <c r="F6" s="2">
        <v>41306</v>
      </c>
      <c r="G6">
        <v>115456712</v>
      </c>
      <c r="H6" s="2">
        <v>41427</v>
      </c>
      <c r="I6" s="3">
        <v>5062</v>
      </c>
      <c r="J6" s="3">
        <v>651</v>
      </c>
      <c r="K6" s="3">
        <v>525</v>
      </c>
      <c r="L6">
        <f t="shared" si="0"/>
        <v>3295362</v>
      </c>
      <c r="M6">
        <f t="shared" si="1"/>
        <v>2657550</v>
      </c>
      <c r="N6">
        <f t="shared" si="2"/>
        <v>637812</v>
      </c>
      <c r="O6" s="6">
        <f t="shared" si="4"/>
        <v>31890.600000000002</v>
      </c>
      <c r="P6" s="6">
        <f t="shared" si="3"/>
        <v>605921.4</v>
      </c>
    </row>
    <row r="7" spans="1:19" x14ac:dyDescent="0.25">
      <c r="A7" t="s">
        <v>11</v>
      </c>
      <c r="B7" t="s">
        <v>29</v>
      </c>
      <c r="C7" t="s">
        <v>13</v>
      </c>
      <c r="D7" t="s">
        <v>19</v>
      </c>
      <c r="E7" t="s">
        <v>20</v>
      </c>
      <c r="F7" s="2">
        <v>42039</v>
      </c>
      <c r="G7">
        <v>547995746</v>
      </c>
      <c r="H7" s="2">
        <v>42056</v>
      </c>
      <c r="I7" s="3">
        <v>2974</v>
      </c>
      <c r="J7" s="3">
        <v>255</v>
      </c>
      <c r="K7" s="3">
        <v>159</v>
      </c>
      <c r="L7">
        <f t="shared" si="0"/>
        <v>758370</v>
      </c>
      <c r="M7">
        <f t="shared" si="1"/>
        <v>472866</v>
      </c>
      <c r="N7">
        <f t="shared" si="2"/>
        <v>285504</v>
      </c>
      <c r="O7" s="6">
        <f t="shared" si="4"/>
        <v>14275.2</v>
      </c>
      <c r="P7" s="6">
        <f t="shared" si="3"/>
        <v>271228.79999999999</v>
      </c>
    </row>
    <row r="8" spans="1:19" x14ac:dyDescent="0.25">
      <c r="A8" t="s">
        <v>25</v>
      </c>
      <c r="B8" t="s">
        <v>30</v>
      </c>
      <c r="C8" t="s">
        <v>31</v>
      </c>
      <c r="D8" t="s">
        <v>14</v>
      </c>
      <c r="E8" t="s">
        <v>32</v>
      </c>
      <c r="F8" s="2">
        <v>40656</v>
      </c>
      <c r="G8">
        <v>135425221</v>
      </c>
      <c r="H8" s="2">
        <v>40660</v>
      </c>
      <c r="I8" s="3">
        <v>4187</v>
      </c>
      <c r="J8" s="3">
        <v>668</v>
      </c>
      <c r="K8" s="3">
        <v>503</v>
      </c>
      <c r="L8">
        <f t="shared" si="0"/>
        <v>2796916</v>
      </c>
      <c r="M8">
        <f t="shared" si="1"/>
        <v>2106061</v>
      </c>
      <c r="N8">
        <f t="shared" si="2"/>
        <v>690855</v>
      </c>
      <c r="O8" s="6">
        <f t="shared" si="4"/>
        <v>34542.75</v>
      </c>
      <c r="P8" s="6">
        <f t="shared" si="3"/>
        <v>656312.25</v>
      </c>
    </row>
    <row r="9" spans="1:19" x14ac:dyDescent="0.25">
      <c r="A9" t="s">
        <v>25</v>
      </c>
      <c r="B9" t="s">
        <v>33</v>
      </c>
      <c r="C9" t="s">
        <v>34</v>
      </c>
      <c r="D9" t="s">
        <v>19</v>
      </c>
      <c r="E9" t="s">
        <v>15</v>
      </c>
      <c r="F9" s="2">
        <v>41107</v>
      </c>
      <c r="G9">
        <v>871543967</v>
      </c>
      <c r="H9" s="2">
        <v>41117</v>
      </c>
      <c r="I9" s="3">
        <v>8082</v>
      </c>
      <c r="J9" s="3">
        <v>154</v>
      </c>
      <c r="K9" s="3">
        <v>91</v>
      </c>
      <c r="L9">
        <f t="shared" si="0"/>
        <v>1244628</v>
      </c>
      <c r="M9">
        <f t="shared" si="1"/>
        <v>735462</v>
      </c>
      <c r="N9">
        <f t="shared" si="2"/>
        <v>509166</v>
      </c>
      <c r="O9" s="6">
        <f t="shared" si="4"/>
        <v>25458.300000000003</v>
      </c>
      <c r="P9" s="6">
        <f t="shared" si="3"/>
        <v>483707.7</v>
      </c>
    </row>
    <row r="10" spans="1:19" x14ac:dyDescent="0.25">
      <c r="A10" t="s">
        <v>25</v>
      </c>
      <c r="B10" t="s">
        <v>35</v>
      </c>
      <c r="C10" t="s">
        <v>36</v>
      </c>
      <c r="D10" t="s">
        <v>14</v>
      </c>
      <c r="E10" t="s">
        <v>32</v>
      </c>
      <c r="F10" s="2">
        <v>42199</v>
      </c>
      <c r="G10">
        <v>770463311</v>
      </c>
      <c r="H10" s="2">
        <v>42241</v>
      </c>
      <c r="I10" s="3">
        <v>6070</v>
      </c>
      <c r="J10" s="3">
        <v>82</v>
      </c>
      <c r="K10" s="3">
        <v>57</v>
      </c>
      <c r="L10">
        <f t="shared" si="0"/>
        <v>497740</v>
      </c>
      <c r="M10">
        <f t="shared" si="1"/>
        <v>345990</v>
      </c>
      <c r="N10">
        <f t="shared" si="2"/>
        <v>151750</v>
      </c>
      <c r="O10" s="6">
        <f t="shared" si="4"/>
        <v>7587.5</v>
      </c>
      <c r="P10" s="6">
        <f t="shared" si="3"/>
        <v>144162.5</v>
      </c>
    </row>
    <row r="11" spans="1:19" x14ac:dyDescent="0.25">
      <c r="A11" t="s">
        <v>25</v>
      </c>
      <c r="B11" t="s">
        <v>37</v>
      </c>
      <c r="C11" t="s">
        <v>18</v>
      </c>
      <c r="D11" t="s">
        <v>19</v>
      </c>
      <c r="E11" t="s">
        <v>15</v>
      </c>
      <c r="F11" s="2">
        <v>41747</v>
      </c>
      <c r="G11">
        <v>616607081</v>
      </c>
      <c r="H11" s="2">
        <v>41789</v>
      </c>
      <c r="I11" s="3">
        <v>6593</v>
      </c>
      <c r="J11" s="3">
        <v>206</v>
      </c>
      <c r="K11" s="3">
        <v>117</v>
      </c>
      <c r="L11">
        <f t="shared" si="0"/>
        <v>1358158</v>
      </c>
      <c r="M11">
        <f t="shared" si="1"/>
        <v>771381</v>
      </c>
      <c r="N11">
        <f t="shared" si="2"/>
        <v>586777</v>
      </c>
      <c r="O11" s="6">
        <f t="shared" si="4"/>
        <v>29338.850000000002</v>
      </c>
      <c r="P11" s="6">
        <f t="shared" si="3"/>
        <v>557438.15</v>
      </c>
    </row>
    <row r="12" spans="1:19" x14ac:dyDescent="0.25">
      <c r="A12" t="s">
        <v>38</v>
      </c>
      <c r="B12" t="s">
        <v>39</v>
      </c>
      <c r="C12" t="s">
        <v>34</v>
      </c>
      <c r="D12" t="s">
        <v>19</v>
      </c>
      <c r="E12" t="s">
        <v>15</v>
      </c>
      <c r="F12" s="2">
        <v>40718</v>
      </c>
      <c r="G12">
        <v>814711606</v>
      </c>
      <c r="H12" s="2">
        <v>40884</v>
      </c>
      <c r="I12" s="3">
        <v>124</v>
      </c>
      <c r="J12" s="3">
        <v>154</v>
      </c>
      <c r="K12" s="3">
        <v>91</v>
      </c>
      <c r="L12">
        <f t="shared" si="0"/>
        <v>19096</v>
      </c>
      <c r="M12">
        <f t="shared" si="1"/>
        <v>11284</v>
      </c>
      <c r="N12">
        <f t="shared" si="2"/>
        <v>7812</v>
      </c>
      <c r="O12" s="6">
        <f t="shared" si="4"/>
        <v>390.6</v>
      </c>
      <c r="P12" s="6">
        <f t="shared" si="3"/>
        <v>7421.4</v>
      </c>
    </row>
    <row r="13" spans="1:19" x14ac:dyDescent="0.25">
      <c r="A13" t="s">
        <v>25</v>
      </c>
      <c r="B13" t="s">
        <v>40</v>
      </c>
      <c r="C13" t="s">
        <v>41</v>
      </c>
      <c r="D13" t="s">
        <v>14</v>
      </c>
      <c r="E13" t="s">
        <v>15</v>
      </c>
      <c r="F13" s="2">
        <v>41853</v>
      </c>
      <c r="G13">
        <v>939825713</v>
      </c>
      <c r="H13" s="2">
        <v>41870</v>
      </c>
      <c r="I13" s="3">
        <v>4168</v>
      </c>
      <c r="J13" s="3">
        <v>109</v>
      </c>
      <c r="K13" s="3">
        <v>36</v>
      </c>
      <c r="L13">
        <f t="shared" si="0"/>
        <v>454312</v>
      </c>
      <c r="M13">
        <f t="shared" si="1"/>
        <v>150048</v>
      </c>
      <c r="N13">
        <f t="shared" si="2"/>
        <v>304264</v>
      </c>
      <c r="O13" s="6">
        <f t="shared" si="4"/>
        <v>15213.2</v>
      </c>
      <c r="P13" s="6">
        <f t="shared" si="3"/>
        <v>289050.8</v>
      </c>
    </row>
    <row r="14" spans="1:19" x14ac:dyDescent="0.25">
      <c r="A14" t="s">
        <v>38</v>
      </c>
      <c r="B14" t="s">
        <v>42</v>
      </c>
      <c r="C14" t="s">
        <v>41</v>
      </c>
      <c r="D14" t="s">
        <v>19</v>
      </c>
      <c r="E14" t="s">
        <v>24</v>
      </c>
      <c r="F14" s="2">
        <v>42748</v>
      </c>
      <c r="G14">
        <v>187310731</v>
      </c>
      <c r="H14" s="2">
        <v>42738</v>
      </c>
      <c r="I14" s="3">
        <v>8263</v>
      </c>
      <c r="J14" s="3">
        <v>109</v>
      </c>
      <c r="K14" s="3">
        <v>36</v>
      </c>
      <c r="L14">
        <f t="shared" si="0"/>
        <v>900667</v>
      </c>
      <c r="M14">
        <f t="shared" si="1"/>
        <v>297468</v>
      </c>
      <c r="N14">
        <f t="shared" si="2"/>
        <v>603199</v>
      </c>
      <c r="O14" s="6">
        <f t="shared" si="4"/>
        <v>30159.95</v>
      </c>
      <c r="P14" s="6">
        <f t="shared" si="3"/>
        <v>573039.05000000005</v>
      </c>
    </row>
    <row r="15" spans="1:19" x14ac:dyDescent="0.25">
      <c r="A15" t="s">
        <v>16</v>
      </c>
      <c r="B15" t="s">
        <v>43</v>
      </c>
      <c r="C15" t="s">
        <v>31</v>
      </c>
      <c r="D15" t="s">
        <v>14</v>
      </c>
      <c r="E15" t="s">
        <v>15</v>
      </c>
      <c r="F15" s="2">
        <v>42774</v>
      </c>
      <c r="G15">
        <v>522840487</v>
      </c>
      <c r="H15" s="2">
        <v>42779</v>
      </c>
      <c r="I15" s="3">
        <v>8974</v>
      </c>
      <c r="J15" s="3">
        <v>668</v>
      </c>
      <c r="K15" s="3">
        <v>503</v>
      </c>
      <c r="L15">
        <f t="shared" si="0"/>
        <v>5994632</v>
      </c>
      <c r="M15">
        <f t="shared" si="1"/>
        <v>4513922</v>
      </c>
      <c r="N15">
        <f t="shared" si="2"/>
        <v>1480710</v>
      </c>
      <c r="O15" s="6">
        <f t="shared" si="4"/>
        <v>74035.5</v>
      </c>
      <c r="P15" s="6">
        <f t="shared" si="3"/>
        <v>1406674.5</v>
      </c>
    </row>
    <row r="16" spans="1:19" x14ac:dyDescent="0.25">
      <c r="A16" t="s">
        <v>38</v>
      </c>
      <c r="B16" t="s">
        <v>44</v>
      </c>
      <c r="C16" t="s">
        <v>36</v>
      </c>
      <c r="D16" t="s">
        <v>14</v>
      </c>
      <c r="E16" t="s">
        <v>20</v>
      </c>
      <c r="F16" s="2">
        <v>41689</v>
      </c>
      <c r="G16">
        <v>832401311</v>
      </c>
      <c r="H16" s="2">
        <v>41693</v>
      </c>
      <c r="I16" s="3">
        <v>4901</v>
      </c>
      <c r="J16" s="3">
        <v>82</v>
      </c>
      <c r="K16" s="3">
        <v>57</v>
      </c>
      <c r="L16">
        <f t="shared" si="0"/>
        <v>401882</v>
      </c>
      <c r="M16">
        <f t="shared" si="1"/>
        <v>279357</v>
      </c>
      <c r="N16">
        <f t="shared" si="2"/>
        <v>122525</v>
      </c>
      <c r="O16" s="6">
        <f t="shared" si="4"/>
        <v>6126.25</v>
      </c>
      <c r="P16" s="6">
        <f t="shared" si="3"/>
        <v>116398.75</v>
      </c>
    </row>
    <row r="17" spans="1:16" x14ac:dyDescent="0.25">
      <c r="A17" t="s">
        <v>21</v>
      </c>
      <c r="B17" t="s">
        <v>45</v>
      </c>
      <c r="C17" t="s">
        <v>41</v>
      </c>
      <c r="D17" t="s">
        <v>19</v>
      </c>
      <c r="E17" t="s">
        <v>32</v>
      </c>
      <c r="F17" s="2">
        <v>41022</v>
      </c>
      <c r="G17">
        <v>972292029</v>
      </c>
      <c r="H17" s="2">
        <v>40974</v>
      </c>
      <c r="I17" s="3">
        <v>1673</v>
      </c>
      <c r="J17" s="3">
        <v>109</v>
      </c>
      <c r="K17" s="3">
        <v>36</v>
      </c>
      <c r="L17">
        <f t="shared" si="0"/>
        <v>182357</v>
      </c>
      <c r="M17">
        <f t="shared" si="1"/>
        <v>60228</v>
      </c>
      <c r="N17">
        <f t="shared" si="2"/>
        <v>122129</v>
      </c>
      <c r="O17" s="6">
        <f t="shared" si="4"/>
        <v>6106.4500000000007</v>
      </c>
      <c r="P17" s="6">
        <f t="shared" si="3"/>
        <v>116022.55</v>
      </c>
    </row>
    <row r="18" spans="1:16" x14ac:dyDescent="0.25">
      <c r="A18" t="s">
        <v>38</v>
      </c>
      <c r="B18" t="s">
        <v>46</v>
      </c>
      <c r="C18" t="s">
        <v>47</v>
      </c>
      <c r="D18" t="s">
        <v>14</v>
      </c>
      <c r="E18" t="s">
        <v>32</v>
      </c>
      <c r="F18" s="2">
        <v>42693</v>
      </c>
      <c r="G18">
        <v>419123971</v>
      </c>
      <c r="H18" s="2">
        <v>42722</v>
      </c>
      <c r="I18" s="3">
        <v>6952</v>
      </c>
      <c r="J18" s="3">
        <v>437</v>
      </c>
      <c r="K18" s="3">
        <v>263</v>
      </c>
      <c r="L18">
        <f t="shared" si="0"/>
        <v>3038024</v>
      </c>
      <c r="M18">
        <f t="shared" si="1"/>
        <v>1828376</v>
      </c>
      <c r="N18">
        <f t="shared" si="2"/>
        <v>1209648</v>
      </c>
      <c r="O18" s="6">
        <f t="shared" si="4"/>
        <v>60482.400000000001</v>
      </c>
      <c r="P18" s="6">
        <f t="shared" si="3"/>
        <v>1149165.6000000001</v>
      </c>
    </row>
    <row r="19" spans="1:16" x14ac:dyDescent="0.25">
      <c r="A19" t="s">
        <v>25</v>
      </c>
      <c r="B19" t="s">
        <v>48</v>
      </c>
      <c r="C19" t="s">
        <v>49</v>
      </c>
      <c r="D19" t="s">
        <v>14</v>
      </c>
      <c r="E19" t="s">
        <v>20</v>
      </c>
      <c r="F19" s="2">
        <v>42095</v>
      </c>
      <c r="G19">
        <v>519820964</v>
      </c>
      <c r="H19" s="2">
        <v>42112</v>
      </c>
      <c r="I19" s="3">
        <v>5430</v>
      </c>
      <c r="J19" s="3">
        <v>47</v>
      </c>
      <c r="K19" s="3">
        <v>32</v>
      </c>
      <c r="L19">
        <f t="shared" si="0"/>
        <v>255210</v>
      </c>
      <c r="M19">
        <f t="shared" si="1"/>
        <v>173760</v>
      </c>
      <c r="N19">
        <f t="shared" si="2"/>
        <v>81450</v>
      </c>
      <c r="O19" s="6">
        <f t="shared" si="4"/>
        <v>4072.5</v>
      </c>
      <c r="P19" s="6">
        <f t="shared" si="3"/>
        <v>77377.5</v>
      </c>
    </row>
    <row r="20" spans="1:16" x14ac:dyDescent="0.25">
      <c r="A20" t="s">
        <v>38</v>
      </c>
      <c r="B20" t="s">
        <v>50</v>
      </c>
      <c r="C20" t="s">
        <v>31</v>
      </c>
      <c r="D20" t="s">
        <v>14</v>
      </c>
      <c r="E20" t="s">
        <v>24</v>
      </c>
      <c r="F20" s="2">
        <v>40542</v>
      </c>
      <c r="G20">
        <v>441619336</v>
      </c>
      <c r="H20" s="2">
        <v>40563</v>
      </c>
      <c r="I20" s="3">
        <v>3830</v>
      </c>
      <c r="J20" s="3">
        <v>668</v>
      </c>
      <c r="K20" s="3">
        <v>503</v>
      </c>
      <c r="L20">
        <f t="shared" si="0"/>
        <v>2558440</v>
      </c>
      <c r="M20">
        <f t="shared" si="1"/>
        <v>1926490</v>
      </c>
      <c r="N20">
        <f t="shared" si="2"/>
        <v>631950</v>
      </c>
      <c r="O20" s="6">
        <f t="shared" si="4"/>
        <v>31597.5</v>
      </c>
      <c r="P20" s="6">
        <f t="shared" si="3"/>
        <v>600352.5</v>
      </c>
    </row>
    <row r="21" spans="1:16" x14ac:dyDescent="0.25">
      <c r="A21" t="s">
        <v>11</v>
      </c>
      <c r="B21" t="s">
        <v>51</v>
      </c>
      <c r="C21" t="s">
        <v>52</v>
      </c>
      <c r="D21" t="s">
        <v>19</v>
      </c>
      <c r="E21" t="s">
        <v>24</v>
      </c>
      <c r="F21" s="2">
        <v>41121</v>
      </c>
      <c r="G21">
        <v>322067916</v>
      </c>
      <c r="H21" s="2">
        <v>41222</v>
      </c>
      <c r="I21" s="3">
        <v>5908</v>
      </c>
      <c r="J21" s="3">
        <v>422</v>
      </c>
      <c r="K21" s="3">
        <v>365</v>
      </c>
      <c r="L21">
        <f t="shared" si="0"/>
        <v>2493176</v>
      </c>
      <c r="M21">
        <f t="shared" si="1"/>
        <v>2156420</v>
      </c>
      <c r="N21">
        <f t="shared" si="2"/>
        <v>336756</v>
      </c>
      <c r="O21" s="6">
        <f t="shared" si="4"/>
        <v>16837.8</v>
      </c>
      <c r="P21" s="6">
        <f t="shared" si="3"/>
        <v>319918.2</v>
      </c>
    </row>
    <row r="22" spans="1:16" x14ac:dyDescent="0.25">
      <c r="A22" t="s">
        <v>21</v>
      </c>
      <c r="B22" t="s">
        <v>53</v>
      </c>
      <c r="C22" t="s">
        <v>13</v>
      </c>
      <c r="D22" t="s">
        <v>19</v>
      </c>
      <c r="E22" t="s">
        <v>24</v>
      </c>
      <c r="F22" s="2">
        <v>41773</v>
      </c>
      <c r="G22">
        <v>819028031</v>
      </c>
      <c r="H22" s="2">
        <v>41818</v>
      </c>
      <c r="I22" s="3">
        <v>7450</v>
      </c>
      <c r="J22" s="3">
        <v>255</v>
      </c>
      <c r="K22" s="3">
        <v>159</v>
      </c>
      <c r="L22">
        <f t="shared" si="0"/>
        <v>1899750</v>
      </c>
      <c r="M22">
        <f t="shared" si="1"/>
        <v>1184550</v>
      </c>
      <c r="N22">
        <f t="shared" si="2"/>
        <v>715200</v>
      </c>
      <c r="O22" s="6">
        <f t="shared" si="4"/>
        <v>35760</v>
      </c>
      <c r="P22" s="6">
        <f t="shared" si="3"/>
        <v>679440</v>
      </c>
    </row>
    <row r="23" spans="1:16" x14ac:dyDescent="0.25">
      <c r="A23" t="s">
        <v>21</v>
      </c>
      <c r="B23" t="s">
        <v>54</v>
      </c>
      <c r="C23" t="s">
        <v>13</v>
      </c>
      <c r="D23" t="s">
        <v>19</v>
      </c>
      <c r="E23" t="s">
        <v>15</v>
      </c>
      <c r="F23" s="2">
        <v>42216</v>
      </c>
      <c r="G23">
        <v>860673511</v>
      </c>
      <c r="H23" s="2">
        <v>42072</v>
      </c>
      <c r="I23" s="3">
        <v>1273</v>
      </c>
      <c r="J23" s="3">
        <v>255</v>
      </c>
      <c r="K23" s="3">
        <v>159</v>
      </c>
      <c r="L23">
        <f t="shared" si="0"/>
        <v>324615</v>
      </c>
      <c r="M23">
        <f t="shared" si="1"/>
        <v>202407</v>
      </c>
      <c r="N23">
        <f t="shared" si="2"/>
        <v>122208</v>
      </c>
      <c r="O23" s="6">
        <f t="shared" si="4"/>
        <v>6110.4000000000005</v>
      </c>
      <c r="P23" s="6">
        <f t="shared" si="3"/>
        <v>116097.60000000001</v>
      </c>
    </row>
    <row r="24" spans="1:16" x14ac:dyDescent="0.25">
      <c r="A24" t="s">
        <v>16</v>
      </c>
      <c r="B24" t="s">
        <v>43</v>
      </c>
      <c r="C24" t="s">
        <v>55</v>
      </c>
      <c r="D24" t="s">
        <v>19</v>
      </c>
      <c r="E24" t="s">
        <v>24</v>
      </c>
      <c r="F24" s="2">
        <v>42551</v>
      </c>
      <c r="G24">
        <v>795490682</v>
      </c>
      <c r="H24" s="2">
        <v>42577</v>
      </c>
      <c r="I24" s="3">
        <v>2225</v>
      </c>
      <c r="J24" s="3">
        <v>153</v>
      </c>
      <c r="K24" s="3">
        <v>97</v>
      </c>
      <c r="L24">
        <f t="shared" si="0"/>
        <v>340425</v>
      </c>
      <c r="M24">
        <f t="shared" si="1"/>
        <v>215825</v>
      </c>
      <c r="N24">
        <f t="shared" si="2"/>
        <v>124600</v>
      </c>
      <c r="O24" s="6">
        <f t="shared" si="4"/>
        <v>6230</v>
      </c>
      <c r="P24" s="6">
        <f t="shared" si="3"/>
        <v>118370</v>
      </c>
    </row>
    <row r="25" spans="1:16" x14ac:dyDescent="0.25">
      <c r="A25" t="s">
        <v>11</v>
      </c>
      <c r="B25" t="s">
        <v>56</v>
      </c>
      <c r="C25" t="s">
        <v>27</v>
      </c>
      <c r="D25" t="s">
        <v>19</v>
      </c>
      <c r="E25" t="s">
        <v>15</v>
      </c>
      <c r="F25" s="2">
        <v>41890</v>
      </c>
      <c r="G25">
        <v>142278373</v>
      </c>
      <c r="H25" s="2">
        <v>41739</v>
      </c>
      <c r="I25" s="3">
        <v>2187</v>
      </c>
      <c r="J25" s="3">
        <v>9</v>
      </c>
      <c r="K25" s="3">
        <v>7</v>
      </c>
      <c r="L25">
        <f t="shared" si="0"/>
        <v>19683</v>
      </c>
      <c r="M25">
        <f t="shared" si="1"/>
        <v>15309</v>
      </c>
      <c r="N25">
        <f t="shared" si="2"/>
        <v>4374</v>
      </c>
      <c r="O25" s="6">
        <f t="shared" si="4"/>
        <v>218.70000000000002</v>
      </c>
      <c r="P25" s="6">
        <f t="shared" si="3"/>
        <v>4155.3</v>
      </c>
    </row>
    <row r="26" spans="1:16" x14ac:dyDescent="0.25">
      <c r="A26" t="s">
        <v>21</v>
      </c>
      <c r="B26" t="s">
        <v>57</v>
      </c>
      <c r="C26" t="s">
        <v>36</v>
      </c>
      <c r="D26" t="s">
        <v>19</v>
      </c>
      <c r="E26" t="s">
        <v>24</v>
      </c>
      <c r="F26" s="2">
        <v>42497</v>
      </c>
      <c r="G26">
        <v>740147912</v>
      </c>
      <c r="H26" s="2">
        <v>42648</v>
      </c>
      <c r="I26" s="3">
        <v>5070</v>
      </c>
      <c r="J26" s="3">
        <v>82</v>
      </c>
      <c r="K26" s="3">
        <v>57</v>
      </c>
      <c r="L26">
        <f t="shared" si="0"/>
        <v>415740</v>
      </c>
      <c r="M26">
        <f t="shared" si="1"/>
        <v>288990</v>
      </c>
      <c r="N26">
        <f t="shared" si="2"/>
        <v>126750</v>
      </c>
      <c r="O26" s="6">
        <f t="shared" si="4"/>
        <v>6337.5</v>
      </c>
      <c r="P26" s="6">
        <f t="shared" si="3"/>
        <v>120412.5</v>
      </c>
    </row>
    <row r="27" spans="1:16" x14ac:dyDescent="0.25">
      <c r="A27" t="s">
        <v>21</v>
      </c>
      <c r="B27" t="s">
        <v>58</v>
      </c>
      <c r="C27" t="s">
        <v>47</v>
      </c>
      <c r="D27" t="s">
        <v>19</v>
      </c>
      <c r="E27" t="s">
        <v>15</v>
      </c>
      <c r="F27" s="2">
        <v>42877</v>
      </c>
      <c r="G27">
        <v>898523128</v>
      </c>
      <c r="H27" s="2">
        <v>42861</v>
      </c>
      <c r="I27" s="3">
        <v>1815</v>
      </c>
      <c r="J27" s="3">
        <v>437</v>
      </c>
      <c r="K27" s="3">
        <v>263</v>
      </c>
      <c r="L27">
        <f t="shared" si="0"/>
        <v>793155</v>
      </c>
      <c r="M27">
        <f t="shared" si="1"/>
        <v>477345</v>
      </c>
      <c r="N27">
        <f t="shared" si="2"/>
        <v>315810</v>
      </c>
      <c r="O27" s="6">
        <f t="shared" si="4"/>
        <v>15790.5</v>
      </c>
      <c r="P27" s="6">
        <f t="shared" si="3"/>
        <v>300019.5</v>
      </c>
    </row>
    <row r="28" spans="1:16" x14ac:dyDescent="0.25">
      <c r="A28" t="s">
        <v>11</v>
      </c>
      <c r="B28" t="s">
        <v>59</v>
      </c>
      <c r="C28" t="s">
        <v>27</v>
      </c>
      <c r="D28" t="s">
        <v>19</v>
      </c>
      <c r="E28" t="s">
        <v>32</v>
      </c>
      <c r="F28" s="2">
        <v>41925</v>
      </c>
      <c r="G28">
        <v>347140347</v>
      </c>
      <c r="H28" s="2">
        <v>41923</v>
      </c>
      <c r="I28" s="3">
        <v>5398</v>
      </c>
      <c r="J28" s="3">
        <v>9</v>
      </c>
      <c r="K28" s="3">
        <v>7</v>
      </c>
      <c r="L28">
        <f t="shared" si="0"/>
        <v>48582</v>
      </c>
      <c r="M28">
        <f t="shared" si="1"/>
        <v>37786</v>
      </c>
      <c r="N28">
        <f t="shared" si="2"/>
        <v>10796</v>
      </c>
      <c r="O28" s="6">
        <f t="shared" si="4"/>
        <v>539.80000000000007</v>
      </c>
      <c r="P28" s="6">
        <f t="shared" si="3"/>
        <v>10256.200000000001</v>
      </c>
    </row>
    <row r="29" spans="1:16" x14ac:dyDescent="0.25">
      <c r="A29" t="s">
        <v>25</v>
      </c>
      <c r="B29" t="s">
        <v>60</v>
      </c>
      <c r="C29" t="s">
        <v>27</v>
      </c>
      <c r="D29" t="s">
        <v>19</v>
      </c>
      <c r="E29" t="s">
        <v>24</v>
      </c>
      <c r="F29" s="2">
        <v>40305</v>
      </c>
      <c r="G29">
        <v>686048400</v>
      </c>
      <c r="H29" s="2">
        <v>40456</v>
      </c>
      <c r="I29" s="3">
        <v>5822</v>
      </c>
      <c r="J29" s="3">
        <v>9</v>
      </c>
      <c r="K29" s="3">
        <v>7</v>
      </c>
      <c r="L29">
        <f t="shared" si="0"/>
        <v>52398</v>
      </c>
      <c r="M29">
        <f t="shared" si="1"/>
        <v>40754</v>
      </c>
      <c r="N29">
        <f t="shared" si="2"/>
        <v>11644</v>
      </c>
      <c r="O29" s="6">
        <f t="shared" si="4"/>
        <v>582.20000000000005</v>
      </c>
      <c r="P29" s="6">
        <f t="shared" si="3"/>
        <v>11061.8</v>
      </c>
    </row>
    <row r="30" spans="1:16" x14ac:dyDescent="0.25">
      <c r="A30" t="s">
        <v>21</v>
      </c>
      <c r="B30" t="s">
        <v>53</v>
      </c>
      <c r="C30" t="s">
        <v>49</v>
      </c>
      <c r="D30" t="s">
        <v>14</v>
      </c>
      <c r="E30" t="s">
        <v>20</v>
      </c>
      <c r="F30" s="2">
        <v>41838</v>
      </c>
      <c r="G30">
        <v>435608613</v>
      </c>
      <c r="H30" s="2">
        <v>41850</v>
      </c>
      <c r="I30" s="3">
        <v>5124</v>
      </c>
      <c r="J30" s="3">
        <v>47</v>
      </c>
      <c r="K30" s="3">
        <v>32</v>
      </c>
      <c r="L30">
        <f t="shared" si="0"/>
        <v>240828</v>
      </c>
      <c r="M30">
        <f t="shared" si="1"/>
        <v>163968</v>
      </c>
      <c r="N30">
        <f t="shared" si="2"/>
        <v>76860</v>
      </c>
      <c r="O30" s="6">
        <f t="shared" si="4"/>
        <v>3843</v>
      </c>
      <c r="P30" s="6">
        <f t="shared" si="3"/>
        <v>73017</v>
      </c>
    </row>
    <row r="31" spans="1:16" x14ac:dyDescent="0.25">
      <c r="A31" t="s">
        <v>25</v>
      </c>
      <c r="B31" t="s">
        <v>61</v>
      </c>
      <c r="C31" t="s">
        <v>31</v>
      </c>
      <c r="D31" t="s">
        <v>14</v>
      </c>
      <c r="E31" t="s">
        <v>24</v>
      </c>
      <c r="F31" s="2">
        <v>41055</v>
      </c>
      <c r="G31">
        <v>886494815</v>
      </c>
      <c r="H31" s="2">
        <v>41158</v>
      </c>
      <c r="I31" s="3">
        <v>2370</v>
      </c>
      <c r="J31" s="3">
        <v>668</v>
      </c>
      <c r="K31" s="3">
        <v>503</v>
      </c>
      <c r="L31">
        <f t="shared" si="0"/>
        <v>1583160</v>
      </c>
      <c r="M31">
        <f t="shared" si="1"/>
        <v>1192110</v>
      </c>
      <c r="N31">
        <f t="shared" si="2"/>
        <v>391050</v>
      </c>
      <c r="O31" s="6">
        <f t="shared" si="4"/>
        <v>19552.5</v>
      </c>
      <c r="P31" s="6">
        <f t="shared" si="3"/>
        <v>371497.5</v>
      </c>
    </row>
    <row r="32" spans="1:16" x14ac:dyDescent="0.25">
      <c r="A32" t="s">
        <v>21</v>
      </c>
      <c r="B32" t="s">
        <v>62</v>
      </c>
      <c r="C32" t="s">
        <v>47</v>
      </c>
      <c r="D32" t="s">
        <v>14</v>
      </c>
      <c r="E32" t="s">
        <v>32</v>
      </c>
      <c r="F32" s="2">
        <v>41169</v>
      </c>
      <c r="G32">
        <v>249693334</v>
      </c>
      <c r="H32" s="2">
        <v>41202</v>
      </c>
      <c r="I32" s="3">
        <v>8661</v>
      </c>
      <c r="J32" s="3">
        <v>437</v>
      </c>
      <c r="K32" s="3">
        <v>263</v>
      </c>
      <c r="L32">
        <f t="shared" si="0"/>
        <v>3784857</v>
      </c>
      <c r="M32">
        <f t="shared" si="1"/>
        <v>2277843</v>
      </c>
      <c r="N32">
        <f t="shared" si="2"/>
        <v>1507014</v>
      </c>
      <c r="O32" s="6">
        <f t="shared" si="4"/>
        <v>75350.7</v>
      </c>
      <c r="P32" s="6">
        <f t="shared" si="3"/>
        <v>1431663.3</v>
      </c>
    </row>
    <row r="33" spans="1:16" x14ac:dyDescent="0.25">
      <c r="A33" t="s">
        <v>25</v>
      </c>
      <c r="B33" t="s">
        <v>63</v>
      </c>
      <c r="C33" t="s">
        <v>36</v>
      </c>
      <c r="D33" t="s">
        <v>14</v>
      </c>
      <c r="E33" t="s">
        <v>20</v>
      </c>
      <c r="F33" s="2">
        <v>41637</v>
      </c>
      <c r="G33">
        <v>406502997</v>
      </c>
      <c r="H33" s="2">
        <v>41667</v>
      </c>
      <c r="I33" s="3">
        <v>2125</v>
      </c>
      <c r="J33" s="3">
        <v>82</v>
      </c>
      <c r="K33" s="3">
        <v>57</v>
      </c>
      <c r="L33">
        <f t="shared" si="0"/>
        <v>174250</v>
      </c>
      <c r="M33">
        <f t="shared" si="1"/>
        <v>121125</v>
      </c>
      <c r="N33">
        <f t="shared" si="2"/>
        <v>53125</v>
      </c>
      <c r="O33" s="6">
        <f t="shared" si="4"/>
        <v>2656.25</v>
      </c>
      <c r="P33" s="6">
        <f t="shared" si="3"/>
        <v>50468.75</v>
      </c>
    </row>
    <row r="34" spans="1:16" x14ac:dyDescent="0.25">
      <c r="A34" t="s">
        <v>11</v>
      </c>
      <c r="B34" t="s">
        <v>64</v>
      </c>
      <c r="C34" t="s">
        <v>23</v>
      </c>
      <c r="D34" t="s">
        <v>19</v>
      </c>
      <c r="E34" t="s">
        <v>20</v>
      </c>
      <c r="F34" s="2">
        <v>42304</v>
      </c>
      <c r="G34">
        <v>158535134</v>
      </c>
      <c r="H34" s="2">
        <v>42333</v>
      </c>
      <c r="I34" s="3">
        <v>2924</v>
      </c>
      <c r="J34" s="3">
        <v>651</v>
      </c>
      <c r="K34" s="3">
        <v>525</v>
      </c>
      <c r="L34">
        <f t="shared" si="0"/>
        <v>1903524</v>
      </c>
      <c r="M34">
        <f t="shared" si="1"/>
        <v>1535100</v>
      </c>
      <c r="N34">
        <f t="shared" si="2"/>
        <v>368424</v>
      </c>
      <c r="O34" s="6">
        <f t="shared" si="4"/>
        <v>18421.2</v>
      </c>
      <c r="P34" s="6">
        <f t="shared" si="3"/>
        <v>350002.8</v>
      </c>
    </row>
    <row r="35" spans="1:16" x14ac:dyDescent="0.25">
      <c r="A35" t="s">
        <v>38</v>
      </c>
      <c r="B35" t="s">
        <v>65</v>
      </c>
      <c r="C35" t="s">
        <v>31</v>
      </c>
      <c r="D35" t="s">
        <v>14</v>
      </c>
      <c r="E35" t="s">
        <v>15</v>
      </c>
      <c r="F35" s="2">
        <v>42020</v>
      </c>
      <c r="G35">
        <v>177713572</v>
      </c>
      <c r="H35" s="2">
        <v>42007</v>
      </c>
      <c r="I35" s="3">
        <v>8250</v>
      </c>
      <c r="J35" s="3">
        <v>668</v>
      </c>
      <c r="K35" s="3">
        <v>503</v>
      </c>
      <c r="L35">
        <f t="shared" si="0"/>
        <v>5511000</v>
      </c>
      <c r="M35">
        <f t="shared" si="1"/>
        <v>4149750</v>
      </c>
      <c r="N35">
        <f t="shared" si="2"/>
        <v>1361250</v>
      </c>
      <c r="O35" s="6">
        <f t="shared" si="4"/>
        <v>68062.5</v>
      </c>
      <c r="P35" s="6">
        <f t="shared" si="3"/>
        <v>1293187.5</v>
      </c>
    </row>
    <row r="36" spans="1:16" x14ac:dyDescent="0.25">
      <c r="A36" t="s">
        <v>25</v>
      </c>
      <c r="B36" t="s">
        <v>66</v>
      </c>
      <c r="C36" t="s">
        <v>55</v>
      </c>
      <c r="D36" t="s">
        <v>19</v>
      </c>
      <c r="E36" t="s">
        <v>32</v>
      </c>
      <c r="F36" s="2">
        <v>42791</v>
      </c>
      <c r="G36">
        <v>756274640</v>
      </c>
      <c r="H36" s="2">
        <v>42791</v>
      </c>
      <c r="I36" s="3">
        <v>7327</v>
      </c>
      <c r="J36" s="3">
        <v>153</v>
      </c>
      <c r="K36" s="3">
        <v>97</v>
      </c>
      <c r="L36">
        <f t="shared" si="0"/>
        <v>1121031</v>
      </c>
      <c r="M36">
        <f t="shared" si="1"/>
        <v>710719</v>
      </c>
      <c r="N36">
        <f t="shared" si="2"/>
        <v>410312</v>
      </c>
      <c r="O36" s="6">
        <f t="shared" si="4"/>
        <v>20515.600000000002</v>
      </c>
      <c r="P36" s="6">
        <f t="shared" si="3"/>
        <v>389796.4</v>
      </c>
    </row>
    <row r="37" spans="1:16" x14ac:dyDescent="0.25">
      <c r="A37" t="s">
        <v>16</v>
      </c>
      <c r="B37" t="s">
        <v>67</v>
      </c>
      <c r="C37" t="s">
        <v>36</v>
      </c>
      <c r="D37" t="s">
        <v>14</v>
      </c>
      <c r="E37" t="s">
        <v>24</v>
      </c>
      <c r="F37" s="2">
        <v>42863</v>
      </c>
      <c r="G37">
        <v>456767165</v>
      </c>
      <c r="H37" s="2">
        <v>42876</v>
      </c>
      <c r="I37" s="3">
        <v>6409</v>
      </c>
      <c r="J37" s="3">
        <v>82</v>
      </c>
      <c r="K37" s="3">
        <v>57</v>
      </c>
      <c r="L37">
        <f t="shared" si="0"/>
        <v>525538</v>
      </c>
      <c r="M37">
        <f t="shared" si="1"/>
        <v>365313</v>
      </c>
      <c r="N37">
        <f t="shared" si="2"/>
        <v>160225</v>
      </c>
      <c r="O37" s="6">
        <f t="shared" si="4"/>
        <v>8011.25</v>
      </c>
      <c r="P37" s="6">
        <f t="shared" si="3"/>
        <v>152213.75</v>
      </c>
    </row>
    <row r="38" spans="1:16" x14ac:dyDescent="0.25">
      <c r="A38" t="s">
        <v>68</v>
      </c>
      <c r="B38" t="s">
        <v>69</v>
      </c>
      <c r="C38" t="s">
        <v>27</v>
      </c>
      <c r="D38" t="s">
        <v>19</v>
      </c>
      <c r="E38" t="s">
        <v>24</v>
      </c>
      <c r="F38" s="2">
        <v>40869</v>
      </c>
      <c r="G38">
        <v>162052476</v>
      </c>
      <c r="H38" s="2">
        <v>40614</v>
      </c>
      <c r="I38" s="3">
        <v>3784</v>
      </c>
      <c r="J38" s="3">
        <v>9</v>
      </c>
      <c r="K38" s="3">
        <v>7</v>
      </c>
      <c r="L38">
        <f t="shared" si="0"/>
        <v>34056</v>
      </c>
      <c r="M38">
        <f t="shared" si="1"/>
        <v>26488</v>
      </c>
      <c r="N38">
        <f t="shared" si="2"/>
        <v>7568</v>
      </c>
      <c r="O38" s="6">
        <f t="shared" si="4"/>
        <v>378.40000000000003</v>
      </c>
      <c r="P38" s="6">
        <f t="shared" si="3"/>
        <v>7189.6</v>
      </c>
    </row>
    <row r="39" spans="1:16" x14ac:dyDescent="0.25">
      <c r="A39" t="s">
        <v>25</v>
      </c>
      <c r="B39" t="s">
        <v>61</v>
      </c>
      <c r="C39" t="s">
        <v>52</v>
      </c>
      <c r="D39" t="s">
        <v>19</v>
      </c>
      <c r="E39" t="s">
        <v>32</v>
      </c>
      <c r="F39" s="2">
        <v>42749</v>
      </c>
      <c r="G39">
        <v>825304400</v>
      </c>
      <c r="H39" s="2">
        <v>42758</v>
      </c>
      <c r="I39" s="3">
        <v>4767</v>
      </c>
      <c r="J39" s="3">
        <v>422</v>
      </c>
      <c r="K39" s="3">
        <v>365</v>
      </c>
      <c r="L39">
        <f t="shared" si="0"/>
        <v>2011674</v>
      </c>
      <c r="M39">
        <f t="shared" si="1"/>
        <v>1739955</v>
      </c>
      <c r="N39">
        <f t="shared" si="2"/>
        <v>271719</v>
      </c>
      <c r="O39" s="6">
        <f t="shared" si="4"/>
        <v>13585.95</v>
      </c>
      <c r="P39" s="6">
        <f t="shared" si="3"/>
        <v>258133.05</v>
      </c>
    </row>
    <row r="40" spans="1:16" x14ac:dyDescent="0.25">
      <c r="A40" t="s">
        <v>38</v>
      </c>
      <c r="B40" t="s">
        <v>70</v>
      </c>
      <c r="C40" t="s">
        <v>23</v>
      </c>
      <c r="D40" t="s">
        <v>19</v>
      </c>
      <c r="E40" t="s">
        <v>24</v>
      </c>
      <c r="F40" s="2">
        <v>41000</v>
      </c>
      <c r="G40">
        <v>320009267</v>
      </c>
      <c r="H40" s="2">
        <v>41126</v>
      </c>
      <c r="I40" s="3">
        <v>6708</v>
      </c>
      <c r="J40" s="3">
        <v>651</v>
      </c>
      <c r="K40" s="3">
        <v>525</v>
      </c>
      <c r="L40">
        <f t="shared" si="0"/>
        <v>4366908</v>
      </c>
      <c r="M40">
        <f t="shared" si="1"/>
        <v>3521700</v>
      </c>
      <c r="N40">
        <f t="shared" si="2"/>
        <v>845208</v>
      </c>
      <c r="O40" s="6">
        <f t="shared" si="4"/>
        <v>42260.4</v>
      </c>
      <c r="P40" s="6">
        <f t="shared" si="3"/>
        <v>802947.6</v>
      </c>
    </row>
    <row r="41" spans="1:16" x14ac:dyDescent="0.25">
      <c r="A41" t="s">
        <v>21</v>
      </c>
      <c r="B41" t="s">
        <v>45</v>
      </c>
      <c r="C41" t="s">
        <v>23</v>
      </c>
      <c r="D41" t="s">
        <v>19</v>
      </c>
      <c r="E41" t="s">
        <v>32</v>
      </c>
      <c r="F41" s="2">
        <v>40955</v>
      </c>
      <c r="G41">
        <v>189965903</v>
      </c>
      <c r="H41" s="2">
        <v>40967</v>
      </c>
      <c r="I41" s="3">
        <v>3987</v>
      </c>
      <c r="J41" s="3">
        <v>651</v>
      </c>
      <c r="K41" s="3">
        <v>525</v>
      </c>
      <c r="L41">
        <f t="shared" si="0"/>
        <v>2595537</v>
      </c>
      <c r="M41">
        <f t="shared" si="1"/>
        <v>2093175</v>
      </c>
      <c r="N41">
        <f t="shared" si="2"/>
        <v>502362</v>
      </c>
      <c r="O41" s="6">
        <f t="shared" si="4"/>
        <v>25118.100000000002</v>
      </c>
      <c r="P41" s="6">
        <f t="shared" si="3"/>
        <v>477243.9</v>
      </c>
    </row>
    <row r="42" spans="1:16" x14ac:dyDescent="0.25">
      <c r="A42" t="s">
        <v>25</v>
      </c>
      <c r="B42" t="s">
        <v>71</v>
      </c>
      <c r="C42" t="s">
        <v>36</v>
      </c>
      <c r="D42" t="s">
        <v>19</v>
      </c>
      <c r="E42" t="s">
        <v>15</v>
      </c>
      <c r="F42" s="2">
        <v>42805</v>
      </c>
      <c r="G42">
        <v>699285638</v>
      </c>
      <c r="H42" s="2">
        <v>42822</v>
      </c>
      <c r="I42" s="3">
        <v>3015</v>
      </c>
      <c r="J42" s="3">
        <v>82</v>
      </c>
      <c r="K42" s="3">
        <v>57</v>
      </c>
      <c r="L42">
        <f t="shared" si="0"/>
        <v>247230</v>
      </c>
      <c r="M42">
        <f t="shared" si="1"/>
        <v>171855</v>
      </c>
      <c r="N42">
        <f t="shared" si="2"/>
        <v>75375</v>
      </c>
      <c r="O42" s="6">
        <f t="shared" si="4"/>
        <v>3768.75</v>
      </c>
      <c r="P42" s="6">
        <f t="shared" si="3"/>
        <v>71606.25</v>
      </c>
    </row>
    <row r="43" spans="1:16" x14ac:dyDescent="0.25">
      <c r="A43" t="s">
        <v>68</v>
      </c>
      <c r="B43" t="s">
        <v>72</v>
      </c>
      <c r="C43" t="s">
        <v>47</v>
      </c>
      <c r="D43" t="s">
        <v>19</v>
      </c>
      <c r="E43" t="s">
        <v>32</v>
      </c>
      <c r="F43" s="2">
        <v>40215</v>
      </c>
      <c r="G43">
        <v>382392299</v>
      </c>
      <c r="H43" s="2">
        <v>40234</v>
      </c>
      <c r="I43" s="3">
        <v>7234</v>
      </c>
      <c r="J43" s="3">
        <v>437</v>
      </c>
      <c r="K43" s="3">
        <v>263</v>
      </c>
      <c r="L43">
        <f t="shared" si="0"/>
        <v>3161258</v>
      </c>
      <c r="M43">
        <f t="shared" si="1"/>
        <v>1902542</v>
      </c>
      <c r="N43">
        <f t="shared" si="2"/>
        <v>1258716</v>
      </c>
      <c r="O43" s="6">
        <f t="shared" si="4"/>
        <v>62935.8</v>
      </c>
      <c r="P43" s="6">
        <f t="shared" si="3"/>
        <v>1195780.2</v>
      </c>
    </row>
    <row r="44" spans="1:16" x14ac:dyDescent="0.25">
      <c r="A44" t="s">
        <v>25</v>
      </c>
      <c r="B44" t="s">
        <v>61</v>
      </c>
      <c r="C44" t="s">
        <v>18</v>
      </c>
      <c r="D44" t="s">
        <v>14</v>
      </c>
      <c r="E44" t="s">
        <v>15</v>
      </c>
      <c r="F44" s="2">
        <v>41067</v>
      </c>
      <c r="G44">
        <v>994022214</v>
      </c>
      <c r="H44" s="2">
        <v>41127</v>
      </c>
      <c r="I44" s="3">
        <v>2117</v>
      </c>
      <c r="J44" s="3">
        <v>206</v>
      </c>
      <c r="K44" s="3">
        <v>117</v>
      </c>
      <c r="L44">
        <f t="shared" si="0"/>
        <v>436102</v>
      </c>
      <c r="M44">
        <f t="shared" si="1"/>
        <v>247689</v>
      </c>
      <c r="N44">
        <f t="shared" si="2"/>
        <v>188413</v>
      </c>
      <c r="O44" s="6">
        <f t="shared" si="4"/>
        <v>9420.65</v>
      </c>
      <c r="P44" s="6">
        <f t="shared" si="3"/>
        <v>178992.35</v>
      </c>
    </row>
    <row r="45" spans="1:16" x14ac:dyDescent="0.25">
      <c r="A45" t="s">
        <v>21</v>
      </c>
      <c r="B45" t="s">
        <v>73</v>
      </c>
      <c r="C45" t="s">
        <v>34</v>
      </c>
      <c r="D45" t="s">
        <v>19</v>
      </c>
      <c r="E45" t="s">
        <v>15</v>
      </c>
      <c r="F45" s="2">
        <v>41188</v>
      </c>
      <c r="G45">
        <v>759224212</v>
      </c>
      <c r="H45" s="2">
        <v>41193</v>
      </c>
      <c r="I45" s="3">
        <v>171</v>
      </c>
      <c r="J45" s="3">
        <v>154</v>
      </c>
      <c r="K45" s="3">
        <v>91</v>
      </c>
      <c r="L45">
        <f t="shared" si="0"/>
        <v>26334</v>
      </c>
      <c r="M45">
        <f t="shared" si="1"/>
        <v>15561</v>
      </c>
      <c r="N45">
        <f t="shared" si="2"/>
        <v>10773</v>
      </c>
      <c r="O45" s="6">
        <f t="shared" si="4"/>
        <v>538.65</v>
      </c>
      <c r="P45" s="6">
        <f t="shared" si="3"/>
        <v>10234.35</v>
      </c>
    </row>
    <row r="46" spans="1:16" x14ac:dyDescent="0.25">
      <c r="A46" t="s">
        <v>38</v>
      </c>
      <c r="B46" t="s">
        <v>65</v>
      </c>
      <c r="C46" t="s">
        <v>41</v>
      </c>
      <c r="D46" t="s">
        <v>19</v>
      </c>
      <c r="E46" t="s">
        <v>15</v>
      </c>
      <c r="F46" s="2">
        <v>42322</v>
      </c>
      <c r="G46">
        <v>223359620</v>
      </c>
      <c r="H46" s="2">
        <v>42326</v>
      </c>
      <c r="I46" s="3">
        <v>5930</v>
      </c>
      <c r="J46" s="3">
        <v>109</v>
      </c>
      <c r="K46" s="3">
        <v>36</v>
      </c>
      <c r="L46">
        <f t="shared" si="0"/>
        <v>646370</v>
      </c>
      <c r="M46">
        <f t="shared" si="1"/>
        <v>213480</v>
      </c>
      <c r="N46">
        <f t="shared" si="2"/>
        <v>432890</v>
      </c>
      <c r="O46" s="6">
        <f t="shared" si="4"/>
        <v>21644.5</v>
      </c>
      <c r="P46" s="6">
        <f t="shared" si="3"/>
        <v>411245.5</v>
      </c>
    </row>
    <row r="47" spans="1:16" x14ac:dyDescent="0.25">
      <c r="A47" t="s">
        <v>25</v>
      </c>
      <c r="B47" t="s">
        <v>74</v>
      </c>
      <c r="C47" t="s">
        <v>18</v>
      </c>
      <c r="D47" t="s">
        <v>14</v>
      </c>
      <c r="E47" t="s">
        <v>15</v>
      </c>
      <c r="F47" s="2">
        <v>42458</v>
      </c>
      <c r="G47">
        <v>902102267</v>
      </c>
      <c r="H47" s="2">
        <v>42489</v>
      </c>
      <c r="I47" s="3">
        <v>962</v>
      </c>
      <c r="J47" s="3">
        <v>206</v>
      </c>
      <c r="K47" s="3">
        <v>117</v>
      </c>
      <c r="L47">
        <f t="shared" si="0"/>
        <v>198172</v>
      </c>
      <c r="M47">
        <f t="shared" si="1"/>
        <v>112554</v>
      </c>
      <c r="N47">
        <f t="shared" si="2"/>
        <v>85618</v>
      </c>
      <c r="O47" s="6">
        <f t="shared" si="4"/>
        <v>4280.9000000000005</v>
      </c>
      <c r="P47" s="6">
        <f t="shared" si="3"/>
        <v>81337.100000000006</v>
      </c>
    </row>
    <row r="48" spans="1:16" x14ac:dyDescent="0.25">
      <c r="A48" t="s">
        <v>21</v>
      </c>
      <c r="B48" t="s">
        <v>75</v>
      </c>
      <c r="C48" t="s">
        <v>47</v>
      </c>
      <c r="D48" t="s">
        <v>19</v>
      </c>
      <c r="E48" t="s">
        <v>20</v>
      </c>
      <c r="F48" s="2">
        <v>42735</v>
      </c>
      <c r="G48">
        <v>331438481</v>
      </c>
      <c r="H48" s="2">
        <v>42735</v>
      </c>
      <c r="I48" s="3">
        <v>8867</v>
      </c>
      <c r="J48" s="3">
        <v>437</v>
      </c>
      <c r="K48" s="3">
        <v>263</v>
      </c>
      <c r="L48">
        <f t="shared" si="0"/>
        <v>3874879</v>
      </c>
      <c r="M48">
        <f t="shared" si="1"/>
        <v>2332021</v>
      </c>
      <c r="N48">
        <f t="shared" si="2"/>
        <v>1542858</v>
      </c>
      <c r="O48" s="6">
        <f t="shared" si="4"/>
        <v>77142.900000000009</v>
      </c>
      <c r="P48" s="6">
        <f t="shared" si="3"/>
        <v>1465715.1</v>
      </c>
    </row>
    <row r="49" spans="1:16" x14ac:dyDescent="0.25">
      <c r="A49" t="s">
        <v>21</v>
      </c>
      <c r="B49" t="s">
        <v>62</v>
      </c>
      <c r="C49" t="s">
        <v>36</v>
      </c>
      <c r="D49" t="s">
        <v>19</v>
      </c>
      <c r="E49" t="s">
        <v>32</v>
      </c>
      <c r="F49" s="2">
        <v>40535</v>
      </c>
      <c r="G49">
        <v>617667090</v>
      </c>
      <c r="H49" s="2">
        <v>40574</v>
      </c>
      <c r="I49" s="3">
        <v>273</v>
      </c>
      <c r="J49" s="3">
        <v>82</v>
      </c>
      <c r="K49" s="3">
        <v>57</v>
      </c>
      <c r="L49">
        <f t="shared" si="0"/>
        <v>22386</v>
      </c>
      <c r="M49">
        <f t="shared" si="1"/>
        <v>15561</v>
      </c>
      <c r="N49">
        <f t="shared" si="2"/>
        <v>6825</v>
      </c>
      <c r="O49" s="6">
        <f t="shared" si="4"/>
        <v>341.25</v>
      </c>
      <c r="P49" s="6">
        <f t="shared" si="3"/>
        <v>6483.75</v>
      </c>
    </row>
    <row r="50" spans="1:16" x14ac:dyDescent="0.25">
      <c r="A50" t="s">
        <v>21</v>
      </c>
      <c r="B50" t="s">
        <v>76</v>
      </c>
      <c r="C50" t="s">
        <v>41</v>
      </c>
      <c r="D50" t="s">
        <v>14</v>
      </c>
      <c r="E50" t="s">
        <v>20</v>
      </c>
      <c r="F50" s="2">
        <v>41926</v>
      </c>
      <c r="G50">
        <v>787399423</v>
      </c>
      <c r="H50" s="2">
        <v>41957</v>
      </c>
      <c r="I50" s="3">
        <v>7842</v>
      </c>
      <c r="J50" s="3">
        <v>109</v>
      </c>
      <c r="K50" s="3">
        <v>36</v>
      </c>
      <c r="L50">
        <f t="shared" si="0"/>
        <v>854778</v>
      </c>
      <c r="M50">
        <f t="shared" si="1"/>
        <v>282312</v>
      </c>
      <c r="N50">
        <f t="shared" si="2"/>
        <v>572466</v>
      </c>
      <c r="O50" s="6">
        <f t="shared" si="4"/>
        <v>28623.300000000003</v>
      </c>
      <c r="P50" s="6">
        <f t="shared" si="3"/>
        <v>543842.69999999995</v>
      </c>
    </row>
    <row r="51" spans="1:16" x14ac:dyDescent="0.25">
      <c r="A51" t="s">
        <v>25</v>
      </c>
      <c r="B51" t="s">
        <v>77</v>
      </c>
      <c r="C51" t="s">
        <v>23</v>
      </c>
      <c r="D51" t="s">
        <v>14</v>
      </c>
      <c r="E51" t="s">
        <v>20</v>
      </c>
      <c r="F51" s="2">
        <v>40919</v>
      </c>
      <c r="G51">
        <v>837559306</v>
      </c>
      <c r="H51" s="2">
        <v>40921</v>
      </c>
      <c r="I51" s="3">
        <v>1266</v>
      </c>
      <c r="J51" s="3">
        <v>651</v>
      </c>
      <c r="K51" s="3">
        <v>525</v>
      </c>
      <c r="L51">
        <f t="shared" si="0"/>
        <v>824166</v>
      </c>
      <c r="M51">
        <f t="shared" si="1"/>
        <v>664650</v>
      </c>
      <c r="N51">
        <f t="shared" si="2"/>
        <v>159516</v>
      </c>
      <c r="O51" s="6">
        <f t="shared" si="4"/>
        <v>7975.8</v>
      </c>
      <c r="P51" s="6">
        <f t="shared" si="3"/>
        <v>151540.20000000001</v>
      </c>
    </row>
    <row r="52" spans="1:16" x14ac:dyDescent="0.25">
      <c r="A52" t="s">
        <v>21</v>
      </c>
      <c r="B52" t="s">
        <v>78</v>
      </c>
      <c r="C52" t="s">
        <v>41</v>
      </c>
      <c r="D52" t="s">
        <v>19</v>
      </c>
      <c r="E52" t="s">
        <v>20</v>
      </c>
      <c r="F52" s="2">
        <v>40211</v>
      </c>
      <c r="G52">
        <v>385383069</v>
      </c>
      <c r="H52" s="2">
        <v>40255</v>
      </c>
      <c r="I52" s="3">
        <v>2269</v>
      </c>
      <c r="J52" s="3">
        <v>109</v>
      </c>
      <c r="K52" s="3">
        <v>36</v>
      </c>
      <c r="L52">
        <f t="shared" si="0"/>
        <v>247321</v>
      </c>
      <c r="M52">
        <f t="shared" si="1"/>
        <v>81684</v>
      </c>
      <c r="N52">
        <f t="shared" si="2"/>
        <v>165637</v>
      </c>
      <c r="O52" s="6">
        <f t="shared" si="4"/>
        <v>8281.85</v>
      </c>
      <c r="P52" s="6">
        <f t="shared" si="3"/>
        <v>157355.15</v>
      </c>
    </row>
    <row r="53" spans="1:16" x14ac:dyDescent="0.25">
      <c r="A53" t="s">
        <v>25</v>
      </c>
      <c r="B53" t="s">
        <v>79</v>
      </c>
      <c r="C53" t="s">
        <v>27</v>
      </c>
      <c r="D53" t="s">
        <v>19</v>
      </c>
      <c r="E53" t="s">
        <v>24</v>
      </c>
      <c r="F53" s="2">
        <v>41504</v>
      </c>
      <c r="G53">
        <v>918419539</v>
      </c>
      <c r="H53" s="2">
        <v>41535</v>
      </c>
      <c r="I53" s="3">
        <v>9606</v>
      </c>
      <c r="J53" s="3">
        <v>9</v>
      </c>
      <c r="K53" s="3">
        <v>7</v>
      </c>
      <c r="L53">
        <f t="shared" si="0"/>
        <v>86454</v>
      </c>
      <c r="M53">
        <f t="shared" si="1"/>
        <v>67242</v>
      </c>
      <c r="N53">
        <f t="shared" si="2"/>
        <v>19212</v>
      </c>
      <c r="O53" s="6">
        <f t="shared" si="4"/>
        <v>960.6</v>
      </c>
      <c r="P53" s="6">
        <f t="shared" si="3"/>
        <v>18251.400000000001</v>
      </c>
    </row>
    <row r="54" spans="1:16" x14ac:dyDescent="0.25">
      <c r="A54" t="s">
        <v>68</v>
      </c>
      <c r="B54" t="s">
        <v>80</v>
      </c>
      <c r="C54" t="s">
        <v>18</v>
      </c>
      <c r="D54" t="s">
        <v>19</v>
      </c>
      <c r="E54" t="s">
        <v>32</v>
      </c>
      <c r="F54" s="2">
        <v>41358</v>
      </c>
      <c r="G54">
        <v>844530045</v>
      </c>
      <c r="H54" s="2">
        <v>41361</v>
      </c>
      <c r="I54" s="3">
        <v>4063</v>
      </c>
      <c r="J54" s="3">
        <v>206</v>
      </c>
      <c r="K54" s="3">
        <v>117</v>
      </c>
      <c r="L54">
        <f t="shared" si="0"/>
        <v>836978</v>
      </c>
      <c r="M54">
        <f t="shared" si="1"/>
        <v>475371</v>
      </c>
      <c r="N54">
        <f t="shared" si="2"/>
        <v>361607</v>
      </c>
      <c r="O54" s="6">
        <f t="shared" si="4"/>
        <v>18080.350000000002</v>
      </c>
      <c r="P54" s="6">
        <f t="shared" si="3"/>
        <v>343526.65</v>
      </c>
    </row>
    <row r="55" spans="1:16" x14ac:dyDescent="0.25">
      <c r="A55" t="s">
        <v>25</v>
      </c>
      <c r="B55" t="s">
        <v>81</v>
      </c>
      <c r="C55" t="s">
        <v>23</v>
      </c>
      <c r="D55" t="s">
        <v>14</v>
      </c>
      <c r="E55" t="s">
        <v>32</v>
      </c>
      <c r="F55" s="2">
        <v>40873</v>
      </c>
      <c r="G55">
        <v>441888415</v>
      </c>
      <c r="H55" s="2">
        <v>41091</v>
      </c>
      <c r="I55" s="3">
        <v>3457</v>
      </c>
      <c r="J55" s="3">
        <v>651</v>
      </c>
      <c r="K55" s="3">
        <v>525</v>
      </c>
      <c r="L55">
        <f t="shared" si="0"/>
        <v>2250507</v>
      </c>
      <c r="M55">
        <f t="shared" si="1"/>
        <v>1814925</v>
      </c>
      <c r="N55">
        <f t="shared" si="2"/>
        <v>435582</v>
      </c>
      <c r="O55" s="6">
        <f t="shared" si="4"/>
        <v>21779.100000000002</v>
      </c>
      <c r="P55" s="6">
        <f t="shared" si="3"/>
        <v>413802.9</v>
      </c>
    </row>
    <row r="56" spans="1:16" x14ac:dyDescent="0.25">
      <c r="A56" t="s">
        <v>25</v>
      </c>
      <c r="B56" t="s">
        <v>26</v>
      </c>
      <c r="C56" t="s">
        <v>27</v>
      </c>
      <c r="D56" t="s">
        <v>14</v>
      </c>
      <c r="E56" t="s">
        <v>15</v>
      </c>
      <c r="F56" s="2">
        <v>41534</v>
      </c>
      <c r="G56">
        <v>508980977</v>
      </c>
      <c r="H56" s="2">
        <v>41571</v>
      </c>
      <c r="I56" s="3">
        <v>7637</v>
      </c>
      <c r="J56" s="3">
        <v>9</v>
      </c>
      <c r="K56" s="3">
        <v>7</v>
      </c>
      <c r="L56">
        <f t="shared" si="0"/>
        <v>68733</v>
      </c>
      <c r="M56">
        <f t="shared" si="1"/>
        <v>53459</v>
      </c>
      <c r="N56">
        <f t="shared" si="2"/>
        <v>15274</v>
      </c>
      <c r="O56" s="6">
        <f t="shared" si="4"/>
        <v>763.7</v>
      </c>
      <c r="P56" s="6">
        <f t="shared" si="3"/>
        <v>14510.3</v>
      </c>
    </row>
    <row r="57" spans="1:16" x14ac:dyDescent="0.25">
      <c r="A57" t="s">
        <v>25</v>
      </c>
      <c r="B57" t="s">
        <v>82</v>
      </c>
      <c r="C57" t="s">
        <v>41</v>
      </c>
      <c r="D57" t="s">
        <v>19</v>
      </c>
      <c r="E57" t="s">
        <v>20</v>
      </c>
      <c r="F57" s="2">
        <v>41068</v>
      </c>
      <c r="G57">
        <v>114606559</v>
      </c>
      <c r="H57" s="2">
        <v>41087</v>
      </c>
      <c r="I57" s="3">
        <v>3482</v>
      </c>
      <c r="J57" s="3">
        <v>109</v>
      </c>
      <c r="K57" s="3">
        <v>36</v>
      </c>
      <c r="L57">
        <f t="shared" si="0"/>
        <v>379538</v>
      </c>
      <c r="M57">
        <f t="shared" si="1"/>
        <v>125352</v>
      </c>
      <c r="N57">
        <f t="shared" si="2"/>
        <v>254186</v>
      </c>
      <c r="O57" s="6">
        <f t="shared" si="4"/>
        <v>12709.300000000001</v>
      </c>
      <c r="P57" s="6">
        <f t="shared" si="3"/>
        <v>241476.7</v>
      </c>
    </row>
    <row r="58" spans="1:16" x14ac:dyDescent="0.25">
      <c r="A58" t="s">
        <v>11</v>
      </c>
      <c r="B58" t="s">
        <v>83</v>
      </c>
      <c r="C58" t="s">
        <v>41</v>
      </c>
      <c r="D58" t="s">
        <v>14</v>
      </c>
      <c r="E58" t="s">
        <v>20</v>
      </c>
      <c r="F58" s="2">
        <v>40359</v>
      </c>
      <c r="G58">
        <v>647876489</v>
      </c>
      <c r="H58" s="2">
        <v>40186</v>
      </c>
      <c r="I58" s="3">
        <v>9905</v>
      </c>
      <c r="J58" s="3">
        <v>109</v>
      </c>
      <c r="K58" s="3">
        <v>36</v>
      </c>
      <c r="L58">
        <f t="shared" si="0"/>
        <v>1079645</v>
      </c>
      <c r="M58">
        <f t="shared" si="1"/>
        <v>356580</v>
      </c>
      <c r="N58">
        <f t="shared" si="2"/>
        <v>723065</v>
      </c>
      <c r="O58" s="6">
        <f t="shared" si="4"/>
        <v>36153.25</v>
      </c>
      <c r="P58" s="6">
        <f t="shared" si="3"/>
        <v>686911.75</v>
      </c>
    </row>
    <row r="59" spans="1:16" x14ac:dyDescent="0.25">
      <c r="A59" t="s">
        <v>21</v>
      </c>
      <c r="B59" t="s">
        <v>84</v>
      </c>
      <c r="C59" t="s">
        <v>47</v>
      </c>
      <c r="D59" t="s">
        <v>14</v>
      </c>
      <c r="E59" t="s">
        <v>15</v>
      </c>
      <c r="F59" s="2">
        <v>42058</v>
      </c>
      <c r="G59">
        <v>868214595</v>
      </c>
      <c r="H59" s="2">
        <v>42038</v>
      </c>
      <c r="I59" s="3">
        <v>2847</v>
      </c>
      <c r="J59" s="3">
        <v>437</v>
      </c>
      <c r="K59" s="3">
        <v>263</v>
      </c>
      <c r="L59">
        <f t="shared" si="0"/>
        <v>1244139</v>
      </c>
      <c r="M59">
        <f t="shared" si="1"/>
        <v>748761</v>
      </c>
      <c r="N59">
        <f t="shared" si="2"/>
        <v>495378</v>
      </c>
      <c r="O59" s="6">
        <f t="shared" si="4"/>
        <v>24768.9</v>
      </c>
      <c r="P59" s="6">
        <f t="shared" si="3"/>
        <v>470609.1</v>
      </c>
    </row>
    <row r="60" spans="1:16" x14ac:dyDescent="0.25">
      <c r="A60" t="s">
        <v>21</v>
      </c>
      <c r="B60" t="s">
        <v>85</v>
      </c>
      <c r="C60" t="s">
        <v>31</v>
      </c>
      <c r="D60" t="s">
        <v>19</v>
      </c>
      <c r="E60" t="s">
        <v>24</v>
      </c>
      <c r="F60" s="2">
        <v>40913</v>
      </c>
      <c r="G60">
        <v>955357205</v>
      </c>
      <c r="H60" s="2">
        <v>40953</v>
      </c>
      <c r="I60" s="3">
        <v>282</v>
      </c>
      <c r="J60" s="3">
        <v>668</v>
      </c>
      <c r="K60" s="3">
        <v>503</v>
      </c>
      <c r="L60">
        <f t="shared" si="0"/>
        <v>188376</v>
      </c>
      <c r="M60">
        <f t="shared" si="1"/>
        <v>141846</v>
      </c>
      <c r="N60">
        <f t="shared" si="2"/>
        <v>46530</v>
      </c>
      <c r="O60" s="6">
        <f t="shared" si="4"/>
        <v>2326.5</v>
      </c>
      <c r="P60" s="6">
        <f t="shared" si="3"/>
        <v>44203.5</v>
      </c>
    </row>
    <row r="61" spans="1:16" x14ac:dyDescent="0.25">
      <c r="A61" t="s">
        <v>25</v>
      </c>
      <c r="B61" t="s">
        <v>66</v>
      </c>
      <c r="C61" t="s">
        <v>47</v>
      </c>
      <c r="D61" t="s">
        <v>14</v>
      </c>
      <c r="E61" t="s">
        <v>15</v>
      </c>
      <c r="F61" s="2">
        <v>41736</v>
      </c>
      <c r="G61">
        <v>259353148</v>
      </c>
      <c r="H61" s="2">
        <v>41748</v>
      </c>
      <c r="I61" s="3">
        <v>7215</v>
      </c>
      <c r="J61" s="3">
        <v>437</v>
      </c>
      <c r="K61" s="3">
        <v>263</v>
      </c>
      <c r="L61">
        <f t="shared" si="0"/>
        <v>3152955</v>
      </c>
      <c r="M61">
        <f t="shared" si="1"/>
        <v>1897545</v>
      </c>
      <c r="N61">
        <f t="shared" si="2"/>
        <v>1255410</v>
      </c>
      <c r="O61" s="6">
        <f t="shared" si="4"/>
        <v>62770.5</v>
      </c>
      <c r="P61" s="6">
        <f t="shared" si="3"/>
        <v>1192639.5</v>
      </c>
    </row>
    <row r="62" spans="1:16" x14ac:dyDescent="0.25">
      <c r="A62" t="s">
        <v>11</v>
      </c>
      <c r="B62" t="s">
        <v>64</v>
      </c>
      <c r="C62" t="s">
        <v>18</v>
      </c>
      <c r="D62" t="s">
        <v>14</v>
      </c>
      <c r="E62" t="s">
        <v>15</v>
      </c>
      <c r="F62" s="2">
        <v>41434</v>
      </c>
      <c r="G62">
        <v>450563752</v>
      </c>
      <c r="H62" s="2">
        <v>41312</v>
      </c>
      <c r="I62" s="3">
        <v>682</v>
      </c>
      <c r="J62" s="3">
        <v>206</v>
      </c>
      <c r="K62" s="3">
        <v>117</v>
      </c>
      <c r="L62">
        <f t="shared" si="0"/>
        <v>140492</v>
      </c>
      <c r="M62">
        <f t="shared" si="1"/>
        <v>79794</v>
      </c>
      <c r="N62">
        <f t="shared" si="2"/>
        <v>60698</v>
      </c>
      <c r="O62" s="6">
        <f t="shared" si="4"/>
        <v>3034.9</v>
      </c>
      <c r="P62" s="6">
        <f t="shared" si="3"/>
        <v>57663.1</v>
      </c>
    </row>
    <row r="63" spans="1:16" x14ac:dyDescent="0.25">
      <c r="A63" t="s">
        <v>21</v>
      </c>
      <c r="B63" t="s">
        <v>86</v>
      </c>
      <c r="C63" t="s">
        <v>13</v>
      </c>
      <c r="D63" t="s">
        <v>19</v>
      </c>
      <c r="E63" t="s">
        <v>24</v>
      </c>
      <c r="F63" s="2">
        <v>41451</v>
      </c>
      <c r="G63">
        <v>569662845</v>
      </c>
      <c r="H63" s="2">
        <v>41281</v>
      </c>
      <c r="I63" s="3">
        <v>4750</v>
      </c>
      <c r="J63" s="3">
        <v>255</v>
      </c>
      <c r="K63" s="3">
        <v>159</v>
      </c>
      <c r="L63">
        <f t="shared" si="0"/>
        <v>1211250</v>
      </c>
      <c r="M63">
        <f t="shared" si="1"/>
        <v>755250</v>
      </c>
      <c r="N63">
        <f t="shared" si="2"/>
        <v>456000</v>
      </c>
      <c r="O63" s="6">
        <f t="shared" si="4"/>
        <v>22800</v>
      </c>
      <c r="P63" s="6">
        <f t="shared" si="3"/>
        <v>433200</v>
      </c>
    </row>
    <row r="64" spans="1:16" x14ac:dyDescent="0.25">
      <c r="A64" t="s">
        <v>25</v>
      </c>
      <c r="B64" t="s">
        <v>48</v>
      </c>
      <c r="C64" t="s">
        <v>23</v>
      </c>
      <c r="D64" t="s">
        <v>19</v>
      </c>
      <c r="E64" t="s">
        <v>32</v>
      </c>
      <c r="F64" s="2">
        <v>40854</v>
      </c>
      <c r="G64">
        <v>177636754</v>
      </c>
      <c r="H64" s="2">
        <v>40862</v>
      </c>
      <c r="I64" s="3">
        <v>5518</v>
      </c>
      <c r="J64" s="3">
        <v>651</v>
      </c>
      <c r="K64" s="3">
        <v>525</v>
      </c>
      <c r="L64">
        <f t="shared" si="0"/>
        <v>3592218</v>
      </c>
      <c r="M64">
        <f t="shared" si="1"/>
        <v>2896950</v>
      </c>
      <c r="N64">
        <f t="shared" si="2"/>
        <v>695268</v>
      </c>
      <c r="O64" s="6">
        <f t="shared" si="4"/>
        <v>34763.4</v>
      </c>
      <c r="P64" s="6">
        <f t="shared" si="3"/>
        <v>660504.6</v>
      </c>
    </row>
    <row r="65" spans="1:16" x14ac:dyDescent="0.25">
      <c r="A65" t="s">
        <v>68</v>
      </c>
      <c r="B65" t="s">
        <v>87</v>
      </c>
      <c r="C65" t="s">
        <v>41</v>
      </c>
      <c r="D65" t="s">
        <v>14</v>
      </c>
      <c r="E65" t="s">
        <v>15</v>
      </c>
      <c r="F65" s="2">
        <v>40481</v>
      </c>
      <c r="G65">
        <v>705784308</v>
      </c>
      <c r="H65" s="2">
        <v>40499</v>
      </c>
      <c r="I65" s="3">
        <v>6116</v>
      </c>
      <c r="J65" s="3">
        <v>109</v>
      </c>
      <c r="K65" s="3">
        <v>36</v>
      </c>
      <c r="L65">
        <f t="shared" si="0"/>
        <v>666644</v>
      </c>
      <c r="M65">
        <f t="shared" si="1"/>
        <v>220176</v>
      </c>
      <c r="N65">
        <f t="shared" si="2"/>
        <v>446468</v>
      </c>
      <c r="O65" s="6">
        <f t="shared" si="4"/>
        <v>22323.4</v>
      </c>
      <c r="P65" s="6">
        <f t="shared" si="3"/>
        <v>424144.6</v>
      </c>
    </row>
    <row r="66" spans="1:16" x14ac:dyDescent="0.25">
      <c r="A66" t="s">
        <v>16</v>
      </c>
      <c r="B66" t="s">
        <v>88</v>
      </c>
      <c r="C66" t="s">
        <v>47</v>
      </c>
      <c r="D66" t="s">
        <v>14</v>
      </c>
      <c r="E66" t="s">
        <v>15</v>
      </c>
      <c r="F66" s="2">
        <v>41560</v>
      </c>
      <c r="G66">
        <v>505716836</v>
      </c>
      <c r="H66" s="2">
        <v>41594</v>
      </c>
      <c r="I66" s="3">
        <v>1705</v>
      </c>
      <c r="J66" s="3">
        <v>437</v>
      </c>
      <c r="K66" s="3">
        <v>263</v>
      </c>
      <c r="L66">
        <f t="shared" si="0"/>
        <v>745085</v>
      </c>
      <c r="M66">
        <f t="shared" si="1"/>
        <v>448415</v>
      </c>
      <c r="N66">
        <f t="shared" si="2"/>
        <v>296670</v>
      </c>
      <c r="O66" s="6">
        <f t="shared" si="4"/>
        <v>14833.5</v>
      </c>
      <c r="P66" s="6">
        <f t="shared" si="3"/>
        <v>281836.5</v>
      </c>
    </row>
    <row r="67" spans="1:16" x14ac:dyDescent="0.25">
      <c r="A67" t="s">
        <v>25</v>
      </c>
      <c r="B67" t="s">
        <v>28</v>
      </c>
      <c r="C67" t="s">
        <v>47</v>
      </c>
      <c r="D67" t="s">
        <v>14</v>
      </c>
      <c r="E67" t="s">
        <v>15</v>
      </c>
      <c r="F67" s="2">
        <v>41558</v>
      </c>
      <c r="G67">
        <v>699358165</v>
      </c>
      <c r="H67" s="2">
        <v>41603</v>
      </c>
      <c r="I67" s="3">
        <v>4477</v>
      </c>
      <c r="J67" s="3">
        <v>437</v>
      </c>
      <c r="K67" s="3">
        <v>263</v>
      </c>
      <c r="L67">
        <f t="shared" ref="L67:L101" si="5">I67*J67</f>
        <v>1956449</v>
      </c>
      <c r="M67">
        <f t="shared" ref="M67:M101" si="6">I67*K67</f>
        <v>1177451</v>
      </c>
      <c r="N67">
        <f t="shared" ref="N67:N101" si="7">L67-M67</f>
        <v>778998</v>
      </c>
      <c r="O67" s="6">
        <f t="shared" ref="O67:O101" si="8">N67*5%</f>
        <v>38949.9</v>
      </c>
      <c r="P67" s="6">
        <f t="shared" ref="P67:P101" si="9">N67-O67</f>
        <v>740048.1</v>
      </c>
    </row>
    <row r="68" spans="1:16" x14ac:dyDescent="0.25">
      <c r="A68" t="s">
        <v>25</v>
      </c>
      <c r="B68" t="s">
        <v>89</v>
      </c>
      <c r="C68" t="s">
        <v>36</v>
      </c>
      <c r="D68" t="s">
        <v>14</v>
      </c>
      <c r="E68" t="s">
        <v>24</v>
      </c>
      <c r="F68" s="2">
        <v>41098</v>
      </c>
      <c r="G68">
        <v>228944623</v>
      </c>
      <c r="H68" s="2">
        <v>41159</v>
      </c>
      <c r="I68" s="3">
        <v>8656</v>
      </c>
      <c r="J68" s="3">
        <v>82</v>
      </c>
      <c r="K68" s="3">
        <v>57</v>
      </c>
      <c r="L68">
        <f t="shared" si="5"/>
        <v>709792</v>
      </c>
      <c r="M68">
        <f t="shared" si="6"/>
        <v>493392</v>
      </c>
      <c r="N68">
        <f t="shared" si="7"/>
        <v>216400</v>
      </c>
      <c r="O68" s="6">
        <f t="shared" si="8"/>
        <v>10820</v>
      </c>
      <c r="P68" s="6">
        <f t="shared" si="9"/>
        <v>205580</v>
      </c>
    </row>
    <row r="69" spans="1:16" x14ac:dyDescent="0.25">
      <c r="A69" t="s">
        <v>16</v>
      </c>
      <c r="B69" t="s">
        <v>90</v>
      </c>
      <c r="C69" t="s">
        <v>41</v>
      </c>
      <c r="D69" t="s">
        <v>14</v>
      </c>
      <c r="E69" t="s">
        <v>32</v>
      </c>
      <c r="F69" s="2">
        <v>42576</v>
      </c>
      <c r="G69">
        <v>807025039</v>
      </c>
      <c r="H69" s="2">
        <v>42560</v>
      </c>
      <c r="I69" s="3">
        <v>5498</v>
      </c>
      <c r="J69" s="3">
        <v>109</v>
      </c>
      <c r="K69" s="3">
        <v>36</v>
      </c>
      <c r="L69">
        <f t="shared" si="5"/>
        <v>599282</v>
      </c>
      <c r="M69">
        <f t="shared" si="6"/>
        <v>197928</v>
      </c>
      <c r="N69">
        <f t="shared" si="7"/>
        <v>401354</v>
      </c>
      <c r="O69" s="6">
        <f t="shared" si="8"/>
        <v>20067.7</v>
      </c>
      <c r="P69" s="6">
        <f t="shared" si="9"/>
        <v>381286.3</v>
      </c>
    </row>
    <row r="70" spans="1:16" x14ac:dyDescent="0.25">
      <c r="A70" t="s">
        <v>21</v>
      </c>
      <c r="B70" t="s">
        <v>91</v>
      </c>
      <c r="C70" t="s">
        <v>23</v>
      </c>
      <c r="D70" t="s">
        <v>14</v>
      </c>
      <c r="E70" t="s">
        <v>15</v>
      </c>
      <c r="F70" s="2">
        <v>40475</v>
      </c>
      <c r="G70">
        <v>166460740</v>
      </c>
      <c r="H70" s="2">
        <v>40499</v>
      </c>
      <c r="I70" s="3">
        <v>8287</v>
      </c>
      <c r="J70" s="3">
        <v>651</v>
      </c>
      <c r="K70" s="3">
        <v>525</v>
      </c>
      <c r="L70">
        <f t="shared" si="5"/>
        <v>5394837</v>
      </c>
      <c r="M70">
        <f t="shared" si="6"/>
        <v>4350675</v>
      </c>
      <c r="N70">
        <f t="shared" si="7"/>
        <v>1044162</v>
      </c>
      <c r="O70" s="6">
        <f t="shared" si="8"/>
        <v>52208.100000000006</v>
      </c>
      <c r="P70" s="6">
        <f t="shared" si="9"/>
        <v>991953.9</v>
      </c>
    </row>
    <row r="71" spans="1:16" x14ac:dyDescent="0.25">
      <c r="A71" t="s">
        <v>25</v>
      </c>
      <c r="B71" t="s">
        <v>92</v>
      </c>
      <c r="C71" t="s">
        <v>41</v>
      </c>
      <c r="D71" t="s">
        <v>14</v>
      </c>
      <c r="E71" t="s">
        <v>24</v>
      </c>
      <c r="F71" s="2">
        <v>42119</v>
      </c>
      <c r="G71">
        <v>610425555</v>
      </c>
      <c r="H71" s="2">
        <v>42152</v>
      </c>
      <c r="I71" s="3">
        <v>7342</v>
      </c>
      <c r="J71" s="3">
        <v>109</v>
      </c>
      <c r="K71" s="3">
        <v>36</v>
      </c>
      <c r="L71">
        <f t="shared" si="5"/>
        <v>800278</v>
      </c>
      <c r="M71">
        <f t="shared" si="6"/>
        <v>264312</v>
      </c>
      <c r="N71">
        <f t="shared" si="7"/>
        <v>535966</v>
      </c>
      <c r="O71" s="6">
        <f t="shared" si="8"/>
        <v>26798.300000000003</v>
      </c>
      <c r="P71" s="6">
        <f t="shared" si="9"/>
        <v>509167.7</v>
      </c>
    </row>
    <row r="72" spans="1:16" x14ac:dyDescent="0.25">
      <c r="A72" t="s">
        <v>38</v>
      </c>
      <c r="B72" t="s">
        <v>50</v>
      </c>
      <c r="C72" t="s">
        <v>23</v>
      </c>
      <c r="D72" t="s">
        <v>19</v>
      </c>
      <c r="E72" t="s">
        <v>32</v>
      </c>
      <c r="F72" s="2">
        <v>41387</v>
      </c>
      <c r="G72">
        <v>462405812</v>
      </c>
      <c r="H72" s="2">
        <v>41414</v>
      </c>
      <c r="I72" s="3">
        <v>5010</v>
      </c>
      <c r="J72" s="3">
        <v>651</v>
      </c>
      <c r="K72" s="3">
        <v>525</v>
      </c>
      <c r="L72">
        <f t="shared" si="5"/>
        <v>3261510</v>
      </c>
      <c r="M72">
        <f t="shared" si="6"/>
        <v>2630250</v>
      </c>
      <c r="N72">
        <f t="shared" si="7"/>
        <v>631260</v>
      </c>
      <c r="O72" s="6">
        <f t="shared" si="8"/>
        <v>31563</v>
      </c>
      <c r="P72" s="6">
        <f t="shared" si="9"/>
        <v>599697</v>
      </c>
    </row>
    <row r="73" spans="1:16" x14ac:dyDescent="0.25">
      <c r="A73" t="s">
        <v>68</v>
      </c>
      <c r="B73" t="s">
        <v>87</v>
      </c>
      <c r="C73" t="s">
        <v>27</v>
      </c>
      <c r="D73" t="s">
        <v>19</v>
      </c>
      <c r="E73" t="s">
        <v>24</v>
      </c>
      <c r="F73" s="2">
        <v>42230</v>
      </c>
      <c r="G73">
        <v>816200339</v>
      </c>
      <c r="H73" s="2">
        <v>42277</v>
      </c>
      <c r="I73" s="3">
        <v>673</v>
      </c>
      <c r="J73" s="3">
        <v>9</v>
      </c>
      <c r="K73" s="3">
        <v>7</v>
      </c>
      <c r="L73">
        <f t="shared" si="5"/>
        <v>6057</v>
      </c>
      <c r="M73">
        <f t="shared" si="6"/>
        <v>4711</v>
      </c>
      <c r="N73">
        <f t="shared" si="7"/>
        <v>1346</v>
      </c>
      <c r="O73" s="6">
        <f t="shared" si="8"/>
        <v>67.3</v>
      </c>
      <c r="P73" s="6">
        <f t="shared" si="9"/>
        <v>1278.7</v>
      </c>
    </row>
    <row r="74" spans="1:16" x14ac:dyDescent="0.25">
      <c r="A74" t="s">
        <v>25</v>
      </c>
      <c r="B74" t="s">
        <v>93</v>
      </c>
      <c r="C74" t="s">
        <v>49</v>
      </c>
      <c r="D74" t="s">
        <v>19</v>
      </c>
      <c r="E74" t="s">
        <v>20</v>
      </c>
      <c r="F74" s="2">
        <v>40689</v>
      </c>
      <c r="G74">
        <v>585920464</v>
      </c>
      <c r="H74" s="2">
        <v>40739</v>
      </c>
      <c r="I74" s="3">
        <v>5741</v>
      </c>
      <c r="J74" s="3">
        <v>47</v>
      </c>
      <c r="K74" s="3">
        <v>32</v>
      </c>
      <c r="L74">
        <f t="shared" si="5"/>
        <v>269827</v>
      </c>
      <c r="M74">
        <f t="shared" si="6"/>
        <v>183712</v>
      </c>
      <c r="N74">
        <f t="shared" si="7"/>
        <v>86115</v>
      </c>
      <c r="O74" s="6">
        <f t="shared" si="8"/>
        <v>4305.75</v>
      </c>
      <c r="P74" s="6">
        <f t="shared" si="9"/>
        <v>81809.25</v>
      </c>
    </row>
    <row r="75" spans="1:16" x14ac:dyDescent="0.25">
      <c r="A75" t="s">
        <v>25</v>
      </c>
      <c r="B75" t="s">
        <v>66</v>
      </c>
      <c r="C75" t="s">
        <v>18</v>
      </c>
      <c r="D75" t="s">
        <v>19</v>
      </c>
      <c r="E75" t="s">
        <v>15</v>
      </c>
      <c r="F75" s="2">
        <v>42875</v>
      </c>
      <c r="G75">
        <v>555990016</v>
      </c>
      <c r="H75" s="2">
        <v>42903</v>
      </c>
      <c r="I75" s="3">
        <v>8656</v>
      </c>
      <c r="J75" s="3">
        <v>206</v>
      </c>
      <c r="K75" s="3">
        <v>117</v>
      </c>
      <c r="L75">
        <f t="shared" si="5"/>
        <v>1783136</v>
      </c>
      <c r="M75">
        <f t="shared" si="6"/>
        <v>1012752</v>
      </c>
      <c r="N75">
        <f t="shared" si="7"/>
        <v>770384</v>
      </c>
      <c r="O75" s="6">
        <f t="shared" si="8"/>
        <v>38519.200000000004</v>
      </c>
      <c r="P75" s="6">
        <f t="shared" si="9"/>
        <v>731864.8</v>
      </c>
    </row>
    <row r="76" spans="1:16" x14ac:dyDescent="0.25">
      <c r="A76" t="s">
        <v>68</v>
      </c>
      <c r="B76" t="s">
        <v>94</v>
      </c>
      <c r="C76" t="s">
        <v>47</v>
      </c>
      <c r="D76" t="s">
        <v>14</v>
      </c>
      <c r="E76" t="s">
        <v>24</v>
      </c>
      <c r="F76" s="2">
        <v>41460</v>
      </c>
      <c r="G76">
        <v>231145322</v>
      </c>
      <c r="H76" s="2">
        <v>41502</v>
      </c>
      <c r="I76" s="3">
        <v>9892</v>
      </c>
      <c r="J76" s="3">
        <v>437</v>
      </c>
      <c r="K76" s="3">
        <v>263</v>
      </c>
      <c r="L76">
        <f t="shared" si="5"/>
        <v>4322804</v>
      </c>
      <c r="M76">
        <f t="shared" si="6"/>
        <v>2601596</v>
      </c>
      <c r="N76">
        <f t="shared" si="7"/>
        <v>1721208</v>
      </c>
      <c r="O76" s="6">
        <f t="shared" si="8"/>
        <v>86060.400000000009</v>
      </c>
      <c r="P76" s="6">
        <f t="shared" si="9"/>
        <v>1635147.6</v>
      </c>
    </row>
    <row r="77" spans="1:16" x14ac:dyDescent="0.25">
      <c r="A77" t="s">
        <v>95</v>
      </c>
      <c r="B77" t="s">
        <v>96</v>
      </c>
      <c r="C77" t="s">
        <v>31</v>
      </c>
      <c r="D77" t="s">
        <v>14</v>
      </c>
      <c r="E77" t="s">
        <v>20</v>
      </c>
      <c r="F77" s="2">
        <v>41949</v>
      </c>
      <c r="G77">
        <v>986435210</v>
      </c>
      <c r="H77" s="2">
        <v>41985</v>
      </c>
      <c r="I77" s="3">
        <v>6954</v>
      </c>
      <c r="J77" s="3">
        <v>668</v>
      </c>
      <c r="K77" s="3">
        <v>503</v>
      </c>
      <c r="L77">
        <f t="shared" si="5"/>
        <v>4645272</v>
      </c>
      <c r="M77">
        <f t="shared" si="6"/>
        <v>3497862</v>
      </c>
      <c r="N77">
        <f t="shared" si="7"/>
        <v>1147410</v>
      </c>
      <c r="O77" s="6">
        <f t="shared" si="8"/>
        <v>57370.5</v>
      </c>
      <c r="P77" s="6">
        <f t="shared" si="9"/>
        <v>1090039.5</v>
      </c>
    </row>
    <row r="78" spans="1:16" x14ac:dyDescent="0.25">
      <c r="A78" t="s">
        <v>11</v>
      </c>
      <c r="B78" t="s">
        <v>97</v>
      </c>
      <c r="C78" t="s">
        <v>49</v>
      </c>
      <c r="D78" t="s">
        <v>19</v>
      </c>
      <c r="E78" t="s">
        <v>20</v>
      </c>
      <c r="F78" s="2">
        <v>41940</v>
      </c>
      <c r="G78">
        <v>217221009</v>
      </c>
      <c r="H78" s="2">
        <v>41958</v>
      </c>
      <c r="I78" s="3">
        <v>9379</v>
      </c>
      <c r="J78" s="3">
        <v>47</v>
      </c>
      <c r="K78" s="3">
        <v>32</v>
      </c>
      <c r="L78">
        <f t="shared" si="5"/>
        <v>440813</v>
      </c>
      <c r="M78">
        <f t="shared" si="6"/>
        <v>300128</v>
      </c>
      <c r="N78">
        <f t="shared" si="7"/>
        <v>140685</v>
      </c>
      <c r="O78" s="6">
        <f t="shared" si="8"/>
        <v>7034.25</v>
      </c>
      <c r="P78" s="6">
        <f t="shared" si="9"/>
        <v>133650.75</v>
      </c>
    </row>
    <row r="79" spans="1:16" x14ac:dyDescent="0.25">
      <c r="A79" t="s">
        <v>38</v>
      </c>
      <c r="B79" t="s">
        <v>98</v>
      </c>
      <c r="C79" t="s">
        <v>34</v>
      </c>
      <c r="D79" t="s">
        <v>14</v>
      </c>
      <c r="E79" t="s">
        <v>20</v>
      </c>
      <c r="F79" s="2">
        <v>40801</v>
      </c>
      <c r="G79">
        <v>789176547</v>
      </c>
      <c r="H79" s="2">
        <v>40839</v>
      </c>
      <c r="I79" s="3">
        <v>3732</v>
      </c>
      <c r="J79" s="3">
        <v>154</v>
      </c>
      <c r="K79" s="3">
        <v>91</v>
      </c>
      <c r="L79">
        <f t="shared" si="5"/>
        <v>574728</v>
      </c>
      <c r="M79">
        <f t="shared" si="6"/>
        <v>339612</v>
      </c>
      <c r="N79">
        <f t="shared" si="7"/>
        <v>235116</v>
      </c>
      <c r="O79" s="6">
        <f t="shared" si="8"/>
        <v>11755.800000000001</v>
      </c>
      <c r="P79" s="6">
        <f t="shared" si="9"/>
        <v>223360.2</v>
      </c>
    </row>
    <row r="80" spans="1:16" x14ac:dyDescent="0.25">
      <c r="A80" t="s">
        <v>21</v>
      </c>
      <c r="B80" t="s">
        <v>99</v>
      </c>
      <c r="C80" t="s">
        <v>13</v>
      </c>
      <c r="D80" t="s">
        <v>14</v>
      </c>
      <c r="E80" t="s">
        <v>15</v>
      </c>
      <c r="F80" s="2">
        <v>41058</v>
      </c>
      <c r="G80">
        <v>688288152</v>
      </c>
      <c r="H80" s="2">
        <v>40945</v>
      </c>
      <c r="I80" s="3">
        <v>8614</v>
      </c>
      <c r="J80" s="3">
        <v>255</v>
      </c>
      <c r="K80" s="3">
        <v>159</v>
      </c>
      <c r="L80">
        <f t="shared" si="5"/>
        <v>2196570</v>
      </c>
      <c r="M80">
        <f t="shared" si="6"/>
        <v>1369626</v>
      </c>
      <c r="N80">
        <f t="shared" si="7"/>
        <v>826944</v>
      </c>
      <c r="O80" s="6">
        <f t="shared" si="8"/>
        <v>41347.200000000004</v>
      </c>
      <c r="P80" s="6">
        <f t="shared" si="9"/>
        <v>785596.8</v>
      </c>
    </row>
    <row r="81" spans="1:16" x14ac:dyDescent="0.25">
      <c r="A81" t="s">
        <v>11</v>
      </c>
      <c r="B81" t="s">
        <v>100</v>
      </c>
      <c r="C81" t="s">
        <v>47</v>
      </c>
      <c r="D81" t="s">
        <v>19</v>
      </c>
      <c r="E81" t="s">
        <v>15</v>
      </c>
      <c r="F81" s="2">
        <v>41475</v>
      </c>
      <c r="G81">
        <v>670854651</v>
      </c>
      <c r="H81" s="2">
        <v>41463</v>
      </c>
      <c r="I81" s="3">
        <v>9654</v>
      </c>
      <c r="J81" s="3">
        <v>437</v>
      </c>
      <c r="K81" s="3">
        <v>263</v>
      </c>
      <c r="L81">
        <f t="shared" si="5"/>
        <v>4218798</v>
      </c>
      <c r="M81">
        <f t="shared" si="6"/>
        <v>2539002</v>
      </c>
      <c r="N81">
        <f t="shared" si="7"/>
        <v>1679796</v>
      </c>
      <c r="O81" s="6">
        <f t="shared" si="8"/>
        <v>83989.8</v>
      </c>
      <c r="P81" s="6">
        <f t="shared" si="9"/>
        <v>1595806.2</v>
      </c>
    </row>
    <row r="82" spans="1:16" x14ac:dyDescent="0.25">
      <c r="A82" t="s">
        <v>21</v>
      </c>
      <c r="B82" t="s">
        <v>101</v>
      </c>
      <c r="C82" t="s">
        <v>31</v>
      </c>
      <c r="D82" t="s">
        <v>14</v>
      </c>
      <c r="E82" t="s">
        <v>24</v>
      </c>
      <c r="F82" s="2">
        <v>41203</v>
      </c>
      <c r="G82">
        <v>213487374</v>
      </c>
      <c r="H82" s="2">
        <v>41243</v>
      </c>
      <c r="I82" s="3">
        <v>4513</v>
      </c>
      <c r="J82" s="3">
        <v>668</v>
      </c>
      <c r="K82" s="3">
        <v>503</v>
      </c>
      <c r="L82">
        <f t="shared" si="5"/>
        <v>3014684</v>
      </c>
      <c r="M82">
        <f t="shared" si="6"/>
        <v>2270039</v>
      </c>
      <c r="N82">
        <f t="shared" si="7"/>
        <v>744645</v>
      </c>
      <c r="O82" s="6">
        <f t="shared" si="8"/>
        <v>37232.25</v>
      </c>
      <c r="P82" s="6">
        <f t="shared" si="9"/>
        <v>707412.75</v>
      </c>
    </row>
    <row r="83" spans="1:16" x14ac:dyDescent="0.25">
      <c r="A83" t="s">
        <v>68</v>
      </c>
      <c r="B83" t="s">
        <v>102</v>
      </c>
      <c r="C83" t="s">
        <v>41</v>
      </c>
      <c r="D83" t="s">
        <v>19</v>
      </c>
      <c r="E83" t="s">
        <v>24</v>
      </c>
      <c r="F83" s="2">
        <v>41170</v>
      </c>
      <c r="G83">
        <v>663110148</v>
      </c>
      <c r="H83" s="2">
        <v>41131</v>
      </c>
      <c r="I83" s="3">
        <v>7884</v>
      </c>
      <c r="J83" s="3">
        <v>109</v>
      </c>
      <c r="K83" s="3">
        <v>36</v>
      </c>
      <c r="L83">
        <f t="shared" si="5"/>
        <v>859356</v>
      </c>
      <c r="M83">
        <f t="shared" si="6"/>
        <v>283824</v>
      </c>
      <c r="N83">
        <f t="shared" si="7"/>
        <v>575532</v>
      </c>
      <c r="O83" s="6">
        <f t="shared" si="8"/>
        <v>28776.600000000002</v>
      </c>
      <c r="P83" s="6">
        <f t="shared" si="9"/>
        <v>546755.4</v>
      </c>
    </row>
    <row r="84" spans="1:16" x14ac:dyDescent="0.25">
      <c r="A84" t="s">
        <v>68</v>
      </c>
      <c r="B84" t="s">
        <v>103</v>
      </c>
      <c r="C84" t="s">
        <v>47</v>
      </c>
      <c r="D84" t="s">
        <v>19</v>
      </c>
      <c r="E84" t="s">
        <v>15</v>
      </c>
      <c r="F84" s="2">
        <v>42689</v>
      </c>
      <c r="G84">
        <v>286959302</v>
      </c>
      <c r="H84" s="2">
        <v>42594</v>
      </c>
      <c r="I84" s="3">
        <v>6489</v>
      </c>
      <c r="J84" s="3">
        <v>437</v>
      </c>
      <c r="K84" s="3">
        <v>263</v>
      </c>
      <c r="L84">
        <f t="shared" si="5"/>
        <v>2835693</v>
      </c>
      <c r="M84">
        <f t="shared" si="6"/>
        <v>1706607</v>
      </c>
      <c r="N84">
        <f t="shared" si="7"/>
        <v>1129086</v>
      </c>
      <c r="O84" s="6">
        <f t="shared" si="8"/>
        <v>56454.3</v>
      </c>
      <c r="P84" s="6">
        <f t="shared" si="9"/>
        <v>1072631.7</v>
      </c>
    </row>
    <row r="85" spans="1:16" x14ac:dyDescent="0.25">
      <c r="A85" t="s">
        <v>25</v>
      </c>
      <c r="B85" t="s">
        <v>104</v>
      </c>
      <c r="C85" t="s">
        <v>55</v>
      </c>
      <c r="D85" t="s">
        <v>19</v>
      </c>
      <c r="E85" t="s">
        <v>24</v>
      </c>
      <c r="F85" s="2">
        <v>40547</v>
      </c>
      <c r="G85">
        <v>122583663</v>
      </c>
      <c r="H85" s="2">
        <v>40664</v>
      </c>
      <c r="I85" s="3">
        <v>4085</v>
      </c>
      <c r="J85" s="3">
        <v>153</v>
      </c>
      <c r="K85" s="3">
        <v>97</v>
      </c>
      <c r="L85">
        <f t="shared" si="5"/>
        <v>625005</v>
      </c>
      <c r="M85">
        <f t="shared" si="6"/>
        <v>396245</v>
      </c>
      <c r="N85">
        <f t="shared" si="7"/>
        <v>228760</v>
      </c>
      <c r="O85" s="6">
        <f t="shared" si="8"/>
        <v>11438</v>
      </c>
      <c r="P85" s="6">
        <f t="shared" si="9"/>
        <v>217322</v>
      </c>
    </row>
    <row r="86" spans="1:16" x14ac:dyDescent="0.25">
      <c r="A86" t="s">
        <v>25</v>
      </c>
      <c r="B86" t="s">
        <v>105</v>
      </c>
      <c r="C86" t="s">
        <v>34</v>
      </c>
      <c r="D86" t="s">
        <v>19</v>
      </c>
      <c r="E86" t="s">
        <v>24</v>
      </c>
      <c r="F86" s="2">
        <v>40986</v>
      </c>
      <c r="G86">
        <v>827844560</v>
      </c>
      <c r="H86" s="2">
        <v>41094</v>
      </c>
      <c r="I86" s="3">
        <v>6457</v>
      </c>
      <c r="J86" s="3">
        <v>154</v>
      </c>
      <c r="K86" s="3">
        <v>91</v>
      </c>
      <c r="L86">
        <f t="shared" si="5"/>
        <v>994378</v>
      </c>
      <c r="M86">
        <f t="shared" si="6"/>
        <v>587587</v>
      </c>
      <c r="N86">
        <f t="shared" si="7"/>
        <v>406791</v>
      </c>
      <c r="O86" s="6">
        <f t="shared" si="8"/>
        <v>20339.550000000003</v>
      </c>
      <c r="P86" s="6">
        <f t="shared" si="9"/>
        <v>386451.45</v>
      </c>
    </row>
    <row r="87" spans="1:16" x14ac:dyDescent="0.25">
      <c r="A87" t="s">
        <v>95</v>
      </c>
      <c r="B87" t="s">
        <v>96</v>
      </c>
      <c r="C87" t="s">
        <v>36</v>
      </c>
      <c r="D87" t="s">
        <v>14</v>
      </c>
      <c r="E87" t="s">
        <v>24</v>
      </c>
      <c r="F87" s="2">
        <v>40956</v>
      </c>
      <c r="G87">
        <v>430915820</v>
      </c>
      <c r="H87" s="2">
        <v>40988</v>
      </c>
      <c r="I87" s="3">
        <v>6422</v>
      </c>
      <c r="J87" s="3">
        <v>82</v>
      </c>
      <c r="K87" s="3">
        <v>57</v>
      </c>
      <c r="L87">
        <f t="shared" si="5"/>
        <v>526604</v>
      </c>
      <c r="M87">
        <f t="shared" si="6"/>
        <v>366054</v>
      </c>
      <c r="N87">
        <f t="shared" si="7"/>
        <v>160550</v>
      </c>
      <c r="O87" s="6">
        <f t="shared" si="8"/>
        <v>8027.5</v>
      </c>
      <c r="P87" s="6">
        <f t="shared" si="9"/>
        <v>152522.5</v>
      </c>
    </row>
    <row r="88" spans="1:16" x14ac:dyDescent="0.25">
      <c r="A88" t="s">
        <v>25</v>
      </c>
      <c r="B88" t="s">
        <v>26</v>
      </c>
      <c r="C88" t="s">
        <v>49</v>
      </c>
      <c r="D88" t="s">
        <v>14</v>
      </c>
      <c r="E88" t="s">
        <v>20</v>
      </c>
      <c r="F88" s="2">
        <v>40559</v>
      </c>
      <c r="G88">
        <v>180283772</v>
      </c>
      <c r="H88" s="2">
        <v>40564</v>
      </c>
      <c r="I88" s="3">
        <v>8829</v>
      </c>
      <c r="J88" s="3">
        <v>47</v>
      </c>
      <c r="K88" s="3">
        <v>32</v>
      </c>
      <c r="L88">
        <f t="shared" si="5"/>
        <v>414963</v>
      </c>
      <c r="M88">
        <f t="shared" si="6"/>
        <v>282528</v>
      </c>
      <c r="N88">
        <f t="shared" si="7"/>
        <v>132435</v>
      </c>
      <c r="O88" s="6">
        <f t="shared" si="8"/>
        <v>6621.75</v>
      </c>
      <c r="P88" s="6">
        <f t="shared" si="9"/>
        <v>125813.25</v>
      </c>
    </row>
    <row r="89" spans="1:16" x14ac:dyDescent="0.25">
      <c r="A89" t="s">
        <v>25</v>
      </c>
      <c r="B89" t="s">
        <v>61</v>
      </c>
      <c r="C89" t="s">
        <v>13</v>
      </c>
      <c r="D89" t="s">
        <v>14</v>
      </c>
      <c r="E89" t="s">
        <v>32</v>
      </c>
      <c r="F89" s="2">
        <v>41673</v>
      </c>
      <c r="G89">
        <v>494747245</v>
      </c>
      <c r="H89" s="2">
        <v>41718</v>
      </c>
      <c r="I89" s="3">
        <v>5559</v>
      </c>
      <c r="J89" s="3">
        <v>255</v>
      </c>
      <c r="K89" s="3">
        <v>159</v>
      </c>
      <c r="L89">
        <f t="shared" si="5"/>
        <v>1417545</v>
      </c>
      <c r="M89">
        <f t="shared" si="6"/>
        <v>883881</v>
      </c>
      <c r="N89">
        <f t="shared" si="7"/>
        <v>533664</v>
      </c>
      <c r="O89" s="6">
        <f t="shared" si="8"/>
        <v>26683.200000000001</v>
      </c>
      <c r="P89" s="6">
        <f t="shared" si="9"/>
        <v>506980.8</v>
      </c>
    </row>
    <row r="90" spans="1:16" x14ac:dyDescent="0.25">
      <c r="A90" t="s">
        <v>68</v>
      </c>
      <c r="B90" t="s">
        <v>106</v>
      </c>
      <c r="C90" t="s">
        <v>27</v>
      </c>
      <c r="D90" t="s">
        <v>19</v>
      </c>
      <c r="E90" t="s">
        <v>32</v>
      </c>
      <c r="F90" s="2">
        <v>41029</v>
      </c>
      <c r="G90">
        <v>513417565</v>
      </c>
      <c r="H90" s="2">
        <v>41047</v>
      </c>
      <c r="I90" s="3">
        <v>522</v>
      </c>
      <c r="J90" s="3">
        <v>9</v>
      </c>
      <c r="K90" s="3">
        <v>7</v>
      </c>
      <c r="L90">
        <f t="shared" si="5"/>
        <v>4698</v>
      </c>
      <c r="M90">
        <f t="shared" si="6"/>
        <v>3654</v>
      </c>
      <c r="N90">
        <f t="shared" si="7"/>
        <v>1044</v>
      </c>
      <c r="O90" s="6">
        <f t="shared" si="8"/>
        <v>52.2</v>
      </c>
      <c r="P90" s="6">
        <f t="shared" si="9"/>
        <v>991.8</v>
      </c>
    </row>
    <row r="91" spans="1:16" x14ac:dyDescent="0.25">
      <c r="A91" t="s">
        <v>21</v>
      </c>
      <c r="B91" t="s">
        <v>107</v>
      </c>
      <c r="C91" t="s">
        <v>49</v>
      </c>
      <c r="D91" t="s">
        <v>14</v>
      </c>
      <c r="E91" t="s">
        <v>20</v>
      </c>
      <c r="F91" s="2">
        <v>42666</v>
      </c>
      <c r="G91">
        <v>345718562</v>
      </c>
      <c r="H91" s="2">
        <v>42699</v>
      </c>
      <c r="I91" s="3">
        <v>4660</v>
      </c>
      <c r="J91" s="3">
        <v>47</v>
      </c>
      <c r="K91" s="3">
        <v>32</v>
      </c>
      <c r="L91">
        <f t="shared" si="5"/>
        <v>219020</v>
      </c>
      <c r="M91">
        <f t="shared" si="6"/>
        <v>149120</v>
      </c>
      <c r="N91">
        <f t="shared" si="7"/>
        <v>69900</v>
      </c>
      <c r="O91" s="6">
        <f t="shared" si="8"/>
        <v>3495</v>
      </c>
      <c r="P91" s="6">
        <f t="shared" si="9"/>
        <v>66405</v>
      </c>
    </row>
    <row r="92" spans="1:16" x14ac:dyDescent="0.25">
      <c r="A92" t="s">
        <v>25</v>
      </c>
      <c r="B92" t="s">
        <v>81</v>
      </c>
      <c r="C92" t="s">
        <v>23</v>
      </c>
      <c r="D92" t="s">
        <v>14</v>
      </c>
      <c r="E92" t="s">
        <v>15</v>
      </c>
      <c r="F92" s="2">
        <v>42710</v>
      </c>
      <c r="G92">
        <v>621386563</v>
      </c>
      <c r="H92" s="2">
        <v>42718</v>
      </c>
      <c r="I92" s="3">
        <v>948</v>
      </c>
      <c r="J92" s="3">
        <v>651</v>
      </c>
      <c r="K92" s="3">
        <v>525</v>
      </c>
      <c r="L92">
        <f t="shared" si="5"/>
        <v>617148</v>
      </c>
      <c r="M92">
        <f t="shared" si="6"/>
        <v>497700</v>
      </c>
      <c r="N92">
        <f t="shared" si="7"/>
        <v>119448</v>
      </c>
      <c r="O92" s="6">
        <f t="shared" si="8"/>
        <v>5972.4000000000005</v>
      </c>
      <c r="P92" s="6">
        <f t="shared" si="9"/>
        <v>113475.6</v>
      </c>
    </row>
    <row r="93" spans="1:16" x14ac:dyDescent="0.25">
      <c r="A93" t="s">
        <v>11</v>
      </c>
      <c r="B93" t="s">
        <v>64</v>
      </c>
      <c r="C93" t="s">
        <v>49</v>
      </c>
      <c r="D93" t="s">
        <v>14</v>
      </c>
      <c r="E93" t="s">
        <v>15</v>
      </c>
      <c r="F93" s="2">
        <v>41827</v>
      </c>
      <c r="G93">
        <v>240470397</v>
      </c>
      <c r="H93" s="2">
        <v>41950</v>
      </c>
      <c r="I93" s="3">
        <v>9389</v>
      </c>
      <c r="J93" s="3">
        <v>47</v>
      </c>
      <c r="K93" s="3">
        <v>32</v>
      </c>
      <c r="L93">
        <f t="shared" si="5"/>
        <v>441283</v>
      </c>
      <c r="M93">
        <f t="shared" si="6"/>
        <v>300448</v>
      </c>
      <c r="N93">
        <f t="shared" si="7"/>
        <v>140835</v>
      </c>
      <c r="O93" s="6">
        <f t="shared" si="8"/>
        <v>7041.75</v>
      </c>
      <c r="P93" s="6">
        <f t="shared" si="9"/>
        <v>133793.25</v>
      </c>
    </row>
    <row r="94" spans="1:16" x14ac:dyDescent="0.25">
      <c r="A94" t="s">
        <v>68</v>
      </c>
      <c r="B94" t="s">
        <v>72</v>
      </c>
      <c r="C94" t="s">
        <v>23</v>
      </c>
      <c r="D94" t="s">
        <v>19</v>
      </c>
      <c r="E94" t="s">
        <v>32</v>
      </c>
      <c r="F94" s="2">
        <v>41073</v>
      </c>
      <c r="G94">
        <v>423331391</v>
      </c>
      <c r="H94" s="2">
        <v>41114</v>
      </c>
      <c r="I94" s="3">
        <v>2021</v>
      </c>
      <c r="J94" s="3">
        <v>651</v>
      </c>
      <c r="K94" s="3">
        <v>525</v>
      </c>
      <c r="L94">
        <f t="shared" si="5"/>
        <v>1315671</v>
      </c>
      <c r="M94">
        <f t="shared" si="6"/>
        <v>1061025</v>
      </c>
      <c r="N94">
        <f t="shared" si="7"/>
        <v>254646</v>
      </c>
      <c r="O94" s="6">
        <f t="shared" si="8"/>
        <v>12732.300000000001</v>
      </c>
      <c r="P94" s="6">
        <f t="shared" si="9"/>
        <v>241913.7</v>
      </c>
    </row>
    <row r="95" spans="1:16" x14ac:dyDescent="0.25">
      <c r="A95" t="s">
        <v>21</v>
      </c>
      <c r="B95" t="s">
        <v>108</v>
      </c>
      <c r="C95" t="s">
        <v>47</v>
      </c>
      <c r="D95" t="s">
        <v>19</v>
      </c>
      <c r="E95" t="s">
        <v>15</v>
      </c>
      <c r="F95" s="2">
        <v>40508</v>
      </c>
      <c r="G95">
        <v>660643374</v>
      </c>
      <c r="H95" s="2">
        <v>40537</v>
      </c>
      <c r="I95" s="3">
        <v>7910</v>
      </c>
      <c r="J95" s="3">
        <v>437</v>
      </c>
      <c r="K95" s="3">
        <v>263</v>
      </c>
      <c r="L95">
        <f t="shared" si="5"/>
        <v>3456670</v>
      </c>
      <c r="M95">
        <f t="shared" si="6"/>
        <v>2080330</v>
      </c>
      <c r="N95">
        <f t="shared" si="7"/>
        <v>1376340</v>
      </c>
      <c r="O95" s="6">
        <f t="shared" si="8"/>
        <v>68817</v>
      </c>
      <c r="P95" s="6">
        <f t="shared" si="9"/>
        <v>1307523</v>
      </c>
    </row>
    <row r="96" spans="1:16" x14ac:dyDescent="0.25">
      <c r="A96" t="s">
        <v>16</v>
      </c>
      <c r="B96" t="s">
        <v>109</v>
      </c>
      <c r="C96" t="s">
        <v>49</v>
      </c>
      <c r="D96" t="s">
        <v>14</v>
      </c>
      <c r="E96" t="s">
        <v>20</v>
      </c>
      <c r="F96" s="2">
        <v>40582</v>
      </c>
      <c r="G96">
        <v>963392674</v>
      </c>
      <c r="H96" s="2">
        <v>40623</v>
      </c>
      <c r="I96" s="3">
        <v>8156</v>
      </c>
      <c r="J96" s="3">
        <v>47</v>
      </c>
      <c r="K96" s="3">
        <v>32</v>
      </c>
      <c r="L96">
        <f t="shared" si="5"/>
        <v>383332</v>
      </c>
      <c r="M96">
        <f t="shared" si="6"/>
        <v>260992</v>
      </c>
      <c r="N96">
        <f t="shared" si="7"/>
        <v>122340</v>
      </c>
      <c r="O96" s="6">
        <f t="shared" si="8"/>
        <v>6117</v>
      </c>
      <c r="P96" s="6">
        <f t="shared" si="9"/>
        <v>116223</v>
      </c>
    </row>
    <row r="97" spans="1:16" x14ac:dyDescent="0.25">
      <c r="A97" t="s">
        <v>25</v>
      </c>
      <c r="B97" t="s">
        <v>60</v>
      </c>
      <c r="C97" t="s">
        <v>41</v>
      </c>
      <c r="D97" t="s">
        <v>19</v>
      </c>
      <c r="E97" t="s">
        <v>32</v>
      </c>
      <c r="F97" s="2">
        <v>40750</v>
      </c>
      <c r="G97">
        <v>512878119</v>
      </c>
      <c r="H97" s="2">
        <v>40611</v>
      </c>
      <c r="I97" s="3">
        <v>888</v>
      </c>
      <c r="J97" s="3">
        <v>109</v>
      </c>
      <c r="K97" s="3">
        <v>36</v>
      </c>
      <c r="L97">
        <f t="shared" si="5"/>
        <v>96792</v>
      </c>
      <c r="M97">
        <f t="shared" si="6"/>
        <v>31968</v>
      </c>
      <c r="N97">
        <f t="shared" si="7"/>
        <v>64824</v>
      </c>
      <c r="O97" s="6">
        <f t="shared" si="8"/>
        <v>3241.2000000000003</v>
      </c>
      <c r="P97" s="6">
        <f t="shared" si="9"/>
        <v>61582.8</v>
      </c>
    </row>
    <row r="98" spans="1:16" x14ac:dyDescent="0.25">
      <c r="A98" t="s">
        <v>38</v>
      </c>
      <c r="B98" t="s">
        <v>110</v>
      </c>
      <c r="C98" t="s">
        <v>27</v>
      </c>
      <c r="D98" t="s">
        <v>14</v>
      </c>
      <c r="E98" t="s">
        <v>24</v>
      </c>
      <c r="F98" s="2">
        <v>40858</v>
      </c>
      <c r="G98">
        <v>810711038</v>
      </c>
      <c r="H98" s="2">
        <v>40905</v>
      </c>
      <c r="I98" s="3">
        <v>6267</v>
      </c>
      <c r="J98" s="3">
        <v>9</v>
      </c>
      <c r="K98" s="3">
        <v>7</v>
      </c>
      <c r="L98">
        <f t="shared" si="5"/>
        <v>56403</v>
      </c>
      <c r="M98">
        <f t="shared" si="6"/>
        <v>43869</v>
      </c>
      <c r="N98">
        <f t="shared" si="7"/>
        <v>12534</v>
      </c>
      <c r="O98" s="6">
        <f t="shared" si="8"/>
        <v>626.70000000000005</v>
      </c>
      <c r="P98" s="6">
        <f t="shared" si="9"/>
        <v>11907.3</v>
      </c>
    </row>
    <row r="99" spans="1:16" x14ac:dyDescent="0.25">
      <c r="A99" t="s">
        <v>25</v>
      </c>
      <c r="B99" t="s">
        <v>81</v>
      </c>
      <c r="C99" t="s">
        <v>34</v>
      </c>
      <c r="D99" t="s">
        <v>14</v>
      </c>
      <c r="E99" t="s">
        <v>20</v>
      </c>
      <c r="F99" s="2">
        <v>42522</v>
      </c>
      <c r="G99">
        <v>728815257</v>
      </c>
      <c r="H99" s="2">
        <v>42550</v>
      </c>
      <c r="I99" s="3">
        <v>1485</v>
      </c>
      <c r="J99" s="3">
        <v>154</v>
      </c>
      <c r="K99" s="3">
        <v>91</v>
      </c>
      <c r="L99">
        <f t="shared" si="5"/>
        <v>228690</v>
      </c>
      <c r="M99">
        <f t="shared" si="6"/>
        <v>135135</v>
      </c>
      <c r="N99">
        <f t="shared" si="7"/>
        <v>93555</v>
      </c>
      <c r="O99" s="6">
        <f t="shared" si="8"/>
        <v>4677.75</v>
      </c>
      <c r="P99" s="6">
        <f t="shared" si="9"/>
        <v>88877.25</v>
      </c>
    </row>
    <row r="100" spans="1:16" x14ac:dyDescent="0.25">
      <c r="A100" t="s">
        <v>95</v>
      </c>
      <c r="B100" t="s">
        <v>96</v>
      </c>
      <c r="C100" t="s">
        <v>36</v>
      </c>
      <c r="D100" t="s">
        <v>14</v>
      </c>
      <c r="E100" t="s">
        <v>32</v>
      </c>
      <c r="F100" s="2">
        <v>42215</v>
      </c>
      <c r="G100">
        <v>559427106</v>
      </c>
      <c r="H100" s="2">
        <v>42224</v>
      </c>
      <c r="I100" s="3">
        <v>5767</v>
      </c>
      <c r="J100" s="3">
        <v>82</v>
      </c>
      <c r="K100" s="3">
        <v>57</v>
      </c>
      <c r="L100">
        <f t="shared" si="5"/>
        <v>472894</v>
      </c>
      <c r="M100">
        <f t="shared" si="6"/>
        <v>328719</v>
      </c>
      <c r="N100">
        <f t="shared" si="7"/>
        <v>144175</v>
      </c>
      <c r="O100" s="6">
        <f t="shared" si="8"/>
        <v>7208.75</v>
      </c>
      <c r="P100" s="6">
        <f t="shared" si="9"/>
        <v>136966.25</v>
      </c>
    </row>
    <row r="101" spans="1:16" x14ac:dyDescent="0.25">
      <c r="A101" t="s">
        <v>25</v>
      </c>
      <c r="B101" t="s">
        <v>111</v>
      </c>
      <c r="C101" t="s">
        <v>31</v>
      </c>
      <c r="D101" t="s">
        <v>14</v>
      </c>
      <c r="E101" t="s">
        <v>24</v>
      </c>
      <c r="F101" s="2">
        <v>40949</v>
      </c>
      <c r="G101">
        <v>665095412</v>
      </c>
      <c r="H101" s="2">
        <v>40954</v>
      </c>
      <c r="I101" s="3">
        <v>5367</v>
      </c>
      <c r="J101" s="3">
        <v>668</v>
      </c>
      <c r="K101" s="3">
        <v>503</v>
      </c>
      <c r="L101">
        <f t="shared" si="5"/>
        <v>3585156</v>
      </c>
      <c r="M101">
        <f t="shared" si="6"/>
        <v>2699601</v>
      </c>
      <c r="N101">
        <f t="shared" si="7"/>
        <v>885555</v>
      </c>
      <c r="O101" s="6">
        <f t="shared" si="8"/>
        <v>44277.75</v>
      </c>
      <c r="P101" s="6">
        <f t="shared" si="9"/>
        <v>841277.25</v>
      </c>
    </row>
  </sheetData>
  <pageMargins left="0.7" right="0.7" top="0.75" bottom="0.75" header="0.3" footer="0.3"/>
  <ignoredErrors>
    <ignoredError sqref="O2:O3 O4:O10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89C4C-1D2D-4B43-AC68-F4CE71D8DD4C}">
  <dimension ref="A3:A16"/>
  <sheetViews>
    <sheetView workbookViewId="0">
      <selection activeCell="A5" sqref="A5"/>
    </sheetView>
  </sheetViews>
  <sheetFormatPr defaultRowHeight="15" x14ac:dyDescent="0.25"/>
  <cols>
    <col min="1" max="1" width="20" bestFit="1" customWidth="1"/>
  </cols>
  <sheetData>
    <row r="3" spans="1:1" x14ac:dyDescent="0.25">
      <c r="A3" t="s">
        <v>118</v>
      </c>
    </row>
    <row r="4" spans="1:1" x14ac:dyDescent="0.25">
      <c r="A4" s="8">
        <v>137263375</v>
      </c>
    </row>
    <row r="7" spans="1:1" x14ac:dyDescent="0.25">
      <c r="A7" t="s">
        <v>119</v>
      </c>
    </row>
    <row r="8" spans="1:1" x14ac:dyDescent="0.25">
      <c r="A8" s="8">
        <v>512871</v>
      </c>
    </row>
    <row r="11" spans="1:1" x14ac:dyDescent="0.25">
      <c r="A11" s="7" t="s">
        <v>120</v>
      </c>
    </row>
    <row r="12" spans="1:1" x14ac:dyDescent="0.25">
      <c r="A12" s="8">
        <v>41862470.100000009</v>
      </c>
    </row>
    <row r="15" spans="1:1" x14ac:dyDescent="0.25">
      <c r="A15" t="s">
        <v>121</v>
      </c>
    </row>
    <row r="16" spans="1:1" x14ac:dyDescent="0.25">
      <c r="A16" s="8">
        <v>418624.70100000012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8092-4B71-4741-AB31-7A01D2230F4A}">
  <dimension ref="A3:B16"/>
  <sheetViews>
    <sheetView workbookViewId="0">
      <selection activeCell="N17" sqref="N17"/>
    </sheetView>
  </sheetViews>
  <sheetFormatPr defaultRowHeight="15" x14ac:dyDescent="0.25"/>
  <cols>
    <col min="1" max="1" width="14.5703125" bestFit="1" customWidth="1"/>
    <col min="2" max="2" width="16.42578125" bestFit="1" customWidth="1"/>
  </cols>
  <sheetData>
    <row r="3" spans="1:2" x14ac:dyDescent="0.25">
      <c r="A3" s="9" t="s">
        <v>122</v>
      </c>
      <c r="B3" t="s">
        <v>120</v>
      </c>
    </row>
    <row r="4" spans="1:2" x14ac:dyDescent="0.25">
      <c r="A4" s="10" t="s">
        <v>27</v>
      </c>
      <c r="B4" s="8">
        <v>94996.200000000012</v>
      </c>
    </row>
    <row r="5" spans="1:2" x14ac:dyDescent="0.25">
      <c r="A5" s="10" t="s">
        <v>52</v>
      </c>
      <c r="B5" s="8">
        <v>578051.25</v>
      </c>
    </row>
    <row r="6" spans="1:2" x14ac:dyDescent="0.25">
      <c r="A6" s="10" t="s">
        <v>55</v>
      </c>
      <c r="B6" s="8">
        <v>725488.4</v>
      </c>
    </row>
    <row r="7" spans="1:2" x14ac:dyDescent="0.25">
      <c r="A7" s="10" t="s">
        <v>49</v>
      </c>
      <c r="B7" s="8">
        <v>808089</v>
      </c>
    </row>
    <row r="8" spans="1:2" x14ac:dyDescent="0.25">
      <c r="A8" s="10" t="s">
        <v>36</v>
      </c>
      <c r="B8" s="8">
        <v>1156815</v>
      </c>
    </row>
    <row r="9" spans="1:2" x14ac:dyDescent="0.25">
      <c r="A9" s="10" t="s">
        <v>34</v>
      </c>
      <c r="B9" s="8">
        <v>1200052.3500000001</v>
      </c>
    </row>
    <row r="10" spans="1:2" x14ac:dyDescent="0.25">
      <c r="A10" s="10" t="s">
        <v>18</v>
      </c>
      <c r="B10" s="8">
        <v>2187900.3500000006</v>
      </c>
    </row>
    <row r="11" spans="1:2" x14ac:dyDescent="0.25">
      <c r="A11" s="10" t="s">
        <v>13</v>
      </c>
      <c r="B11" s="8">
        <v>3697704</v>
      </c>
    </row>
    <row r="12" spans="1:2" x14ac:dyDescent="0.25">
      <c r="A12" s="10" t="s">
        <v>41</v>
      </c>
      <c r="B12" s="8">
        <v>4941881</v>
      </c>
    </row>
    <row r="13" spans="1:2" x14ac:dyDescent="0.25">
      <c r="A13" s="10" t="s">
        <v>23</v>
      </c>
      <c r="B13" s="8">
        <v>5621949.9000000004</v>
      </c>
    </row>
    <row r="14" spans="1:2" x14ac:dyDescent="0.25">
      <c r="A14" s="10" t="s">
        <v>31</v>
      </c>
      <c r="B14" s="8">
        <v>7010957.25</v>
      </c>
    </row>
    <row r="15" spans="1:2" x14ac:dyDescent="0.25">
      <c r="A15" s="10" t="s">
        <v>47</v>
      </c>
      <c r="B15" s="8">
        <v>13838585.399999999</v>
      </c>
    </row>
    <row r="16" spans="1:2" x14ac:dyDescent="0.25">
      <c r="A16" s="10" t="s">
        <v>123</v>
      </c>
      <c r="B16" s="8">
        <v>41862470.100000001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B1E23-BE73-446A-B964-6B49873FD8B8}">
  <dimension ref="A3:B8"/>
  <sheetViews>
    <sheetView workbookViewId="0">
      <selection activeCell="D22" sqref="D22"/>
    </sheetView>
  </sheetViews>
  <sheetFormatPr defaultRowHeight="15" x14ac:dyDescent="0.25"/>
  <cols>
    <col min="1" max="1" width="13.140625" bestFit="1" customWidth="1"/>
    <col min="2" max="2" width="16.7109375" bestFit="1" customWidth="1"/>
  </cols>
  <sheetData>
    <row r="3" spans="1:2" x14ac:dyDescent="0.25">
      <c r="A3" s="9" t="s">
        <v>122</v>
      </c>
      <c r="B3" t="s">
        <v>119</v>
      </c>
    </row>
    <row r="4" spans="1:2" x14ac:dyDescent="0.25">
      <c r="A4" s="10" t="s">
        <v>15</v>
      </c>
      <c r="B4" s="8">
        <v>154212</v>
      </c>
    </row>
    <row r="5" spans="1:2" x14ac:dyDescent="0.25">
      <c r="A5" s="10" t="s">
        <v>24</v>
      </c>
      <c r="B5" s="8">
        <v>146876</v>
      </c>
    </row>
    <row r="6" spans="1:2" x14ac:dyDescent="0.25">
      <c r="A6" s="10" t="s">
        <v>20</v>
      </c>
      <c r="B6" s="8">
        <v>116951</v>
      </c>
    </row>
    <row r="7" spans="1:2" x14ac:dyDescent="0.25">
      <c r="A7" s="10" t="s">
        <v>32</v>
      </c>
      <c r="B7" s="8">
        <v>94832</v>
      </c>
    </row>
    <row r="8" spans="1:2" x14ac:dyDescent="0.25">
      <c r="A8" s="10" t="s">
        <v>123</v>
      </c>
      <c r="B8" s="8">
        <v>512871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D3A1-A57C-4D3D-BFAE-77FAE8A34A1A}">
  <dimension ref="A3:B6"/>
  <sheetViews>
    <sheetView workbookViewId="0">
      <selection activeCell="C26" sqref="C26"/>
    </sheetView>
  </sheetViews>
  <sheetFormatPr defaultRowHeight="15" x14ac:dyDescent="0.25"/>
  <cols>
    <col min="1" max="1" width="13.140625" bestFit="1" customWidth="1"/>
    <col min="2" max="2" width="21.7109375" bestFit="1" customWidth="1"/>
  </cols>
  <sheetData>
    <row r="3" spans="1:2" x14ac:dyDescent="0.25">
      <c r="A3" s="9" t="s">
        <v>122</v>
      </c>
      <c r="B3" t="s">
        <v>124</v>
      </c>
    </row>
    <row r="4" spans="1:2" x14ac:dyDescent="0.25">
      <c r="A4" s="10" t="s">
        <v>14</v>
      </c>
      <c r="B4" s="4">
        <v>0.5</v>
      </c>
    </row>
    <row r="5" spans="1:2" x14ac:dyDescent="0.25">
      <c r="A5" s="10" t="s">
        <v>19</v>
      </c>
      <c r="B5" s="4">
        <v>0.5</v>
      </c>
    </row>
    <row r="6" spans="1:2" x14ac:dyDescent="0.25">
      <c r="A6" s="10" t="s">
        <v>123</v>
      </c>
      <c r="B6"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4BFC0-6EA5-45F6-BB96-A72D3AE237C1}">
  <dimension ref="A3:C12"/>
  <sheetViews>
    <sheetView workbookViewId="0">
      <selection activeCell="G21" sqref="G21"/>
    </sheetView>
  </sheetViews>
  <sheetFormatPr defaultRowHeight="15" x14ac:dyDescent="0.25"/>
  <cols>
    <col min="1" max="1" width="13.140625" bestFit="1" customWidth="1"/>
    <col min="2" max="3" width="16.42578125" bestFit="1" customWidth="1"/>
  </cols>
  <sheetData>
    <row r="3" spans="1:3" x14ac:dyDescent="0.25">
      <c r="A3" s="9" t="s">
        <v>122</v>
      </c>
      <c r="B3" t="s">
        <v>125</v>
      </c>
      <c r="C3" t="s">
        <v>120</v>
      </c>
    </row>
    <row r="4" spans="1:3" x14ac:dyDescent="0.25">
      <c r="A4" s="10" t="s">
        <v>126</v>
      </c>
      <c r="B4" s="8">
        <v>12552867</v>
      </c>
      <c r="C4" s="8">
        <v>6286726.6500000004</v>
      </c>
    </row>
    <row r="5" spans="1:3" x14ac:dyDescent="0.25">
      <c r="A5" s="10" t="s">
        <v>127</v>
      </c>
      <c r="B5" s="8">
        <v>8394634</v>
      </c>
      <c r="C5" s="8">
        <v>2583248.5499999998</v>
      </c>
    </row>
    <row r="6" spans="1:3" x14ac:dyDescent="0.25">
      <c r="A6" s="10" t="s">
        <v>128</v>
      </c>
      <c r="B6" s="8">
        <v>22694906</v>
      </c>
      <c r="C6" s="8">
        <v>8735027.6999999993</v>
      </c>
    </row>
    <row r="7" spans="1:3" x14ac:dyDescent="0.25">
      <c r="A7" s="10" t="s">
        <v>129</v>
      </c>
      <c r="B7" s="8">
        <v>13606505</v>
      </c>
      <c r="C7" s="8">
        <v>6376077.0000000009</v>
      </c>
    </row>
    <row r="8" spans="1:3" x14ac:dyDescent="0.25">
      <c r="A8" s="10" t="s">
        <v>130</v>
      </c>
      <c r="B8" s="8">
        <v>10755264</v>
      </c>
      <c r="C8" s="8">
        <v>5559042.7999999998</v>
      </c>
    </row>
    <row r="9" spans="1:3" x14ac:dyDescent="0.25">
      <c r="A9" s="10" t="s">
        <v>131</v>
      </c>
      <c r="B9" s="8">
        <v>8439856</v>
      </c>
      <c r="C9" s="8">
        <v>3781323.9500000007</v>
      </c>
    </row>
    <row r="10" spans="1:3" x14ac:dyDescent="0.25">
      <c r="A10" s="10" t="s">
        <v>132</v>
      </c>
      <c r="B10" s="8">
        <v>7464256</v>
      </c>
      <c r="C10" s="8">
        <v>4657676.1499999994</v>
      </c>
    </row>
    <row r="11" spans="1:3" x14ac:dyDescent="0.25">
      <c r="A11" s="10" t="s">
        <v>133</v>
      </c>
      <c r="B11" s="8">
        <v>9289329</v>
      </c>
      <c r="C11" s="8">
        <v>3883347.3</v>
      </c>
    </row>
    <row r="12" spans="1:3" x14ac:dyDescent="0.25">
      <c r="A12" s="10" t="s">
        <v>123</v>
      </c>
      <c r="B12" s="8">
        <v>93197617</v>
      </c>
      <c r="C12" s="8">
        <v>41862470.099999994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895C-0739-4B04-B638-C96413DA4B16}">
  <dimension ref="A1"/>
  <sheetViews>
    <sheetView tabSelected="1" workbookViewId="0">
      <selection activeCell="C11" sqref="A1:XFD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23000-490D-459C-AA35-E484707F8E25}">
  <dimension ref="A1"/>
  <sheetViews>
    <sheetView workbookViewId="0"/>
  </sheetViews>
  <sheetFormatPr defaultRowHeight="15" x14ac:dyDescent="0.25"/>
  <cols>
    <col min="1" max="1" width="10" bestFit="1" customWidth="1"/>
    <col min="7" max="7" width="10" bestFit="1"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AF35B-CBB9-437A-BA4B-80F009DC713F}">
  <dimension ref="A1:A2"/>
  <sheetViews>
    <sheetView workbookViewId="0">
      <selection activeCell="A2" sqref="A2"/>
    </sheetView>
  </sheetViews>
  <sheetFormatPr defaultRowHeight="15" x14ac:dyDescent="0.25"/>
  <sheetData>
    <row r="1" spans="1:1" x14ac:dyDescent="0.25">
      <c r="A1" t="s">
        <v>112</v>
      </c>
    </row>
    <row r="2" spans="1:1" x14ac:dyDescent="0.25">
      <c r="A2" s="4">
        <v>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Summary</vt:lpstr>
      <vt:lpstr>Profit by Item Type</vt:lpstr>
      <vt:lpstr>Order Priority Distribution</vt:lpstr>
      <vt:lpstr>Percentage of Sales Channel</vt:lpstr>
      <vt:lpstr>Net Profit vs Total Cost</vt:lpstr>
      <vt:lpstr>Dashboard</vt:lpstr>
      <vt:lpstr>Sheet8</vt:lpstr>
      <vt:lpstr>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Nwando Michael</dc:creator>
  <cp:lastModifiedBy>USER PC</cp:lastModifiedBy>
  <dcterms:created xsi:type="dcterms:W3CDTF">2024-02-20T23:40:59Z</dcterms:created>
  <dcterms:modified xsi:type="dcterms:W3CDTF">2025-10-29T11:38:01Z</dcterms:modified>
</cp:coreProperties>
</file>